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09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RYAN/Desktop/APPLE CHALLENGE/SanFran/data/"/>
    </mc:Choice>
  </mc:AlternateContent>
  <xr:revisionPtr revIDLastSave="0" documentId="8_{79F1D123-67D3-0B43-A6C0-31D86B034DFF}" xr6:coauthVersionLast="34" xr6:coauthVersionMax="34" xr10:uidLastSave="{00000000-0000-0000-0000-000000000000}"/>
  <bookViews>
    <workbookView xWindow="2900" yWindow="460" windowWidth="31740" windowHeight="27340" activeTab="2"/>
  </bookViews>
  <sheets>
    <sheet name="Sheet3" sheetId="4" r:id="rId1"/>
    <sheet name="Sheet6" sheetId="7" r:id="rId2"/>
    <sheet name="Sheet5" sheetId="6" r:id="rId3"/>
    <sheet name="Sheet4" sheetId="5" r:id="rId4"/>
    <sheet name="Community_Development_Projects_" sheetId="1" r:id="rId5"/>
  </sheets>
  <definedNames>
    <definedName name="_xlchart.v1.0" hidden="1">Community_Development_Projects_!$L$2:$L$309</definedName>
    <definedName name="_xlchart.v1.1" hidden="1">Community_Development_Projects_!$L$2:$L$309</definedName>
  </definedNames>
  <calcPr calcId="162913"/>
  <pivotCaches>
    <pivotCache cacheId="9" r:id="rId6"/>
  </pivotCaches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" i="5"/>
</calcChain>
</file>

<file path=xl/sharedStrings.xml><?xml version="1.0" encoding="utf-8"?>
<sst xmlns="http://schemas.openxmlformats.org/spreadsheetml/2006/main" count="1653" uniqueCount="671">
  <si>
    <t>ProjectID</t>
  </si>
  <si>
    <t>Agency Name</t>
  </si>
  <si>
    <t>Official Address</t>
  </si>
  <si>
    <t>Program Area</t>
  </si>
  <si>
    <t>General Fund</t>
  </si>
  <si>
    <t>HOPWA</t>
  </si>
  <si>
    <t>Housing Trust Fund</t>
  </si>
  <si>
    <t>CDBG</t>
  </si>
  <si>
    <t>ESG</t>
  </si>
  <si>
    <t>SOMA</t>
  </si>
  <si>
    <t>Other</t>
  </si>
  <si>
    <t>Total</t>
  </si>
  <si>
    <t>73443-15</t>
  </si>
  <si>
    <t>AIDS Housing Alliance</t>
  </si>
  <si>
    <t>350 Golden Gate Ave, Suite A</t>
  </si>
  <si>
    <t>Public Services - Eviction Prevention</t>
  </si>
  <si>
    <t>73625-15</t>
  </si>
  <si>
    <t>350 Golden Gate Avenue, Suite A</t>
  </si>
  <si>
    <t>73444-15</t>
  </si>
  <si>
    <t>AIDS Legal Referral Panel of the SF Bay Area</t>
  </si>
  <si>
    <t>1663 Mission St Suite 500</t>
  </si>
  <si>
    <t>Public Services - Legal Services</t>
  </si>
  <si>
    <t>73660-15</t>
  </si>
  <si>
    <t>76982-15</t>
  </si>
  <si>
    <t>APA Family Support Services</t>
  </si>
  <si>
    <t>50 Raymond Avenue</t>
  </si>
  <si>
    <t>Capital Projects</t>
  </si>
  <si>
    <t>73445-15</t>
  </si>
  <si>
    <t>APA Family Support Services/SCDC</t>
  </si>
  <si>
    <t>2055 Sunnydale Avenue</t>
  </si>
  <si>
    <t>Public Services - Service Connection</t>
  </si>
  <si>
    <t>73603-15</t>
  </si>
  <si>
    <t>74632-15</t>
  </si>
  <si>
    <t>73446-15</t>
  </si>
  <si>
    <t>APA Family Support Services/YMCA of San Francisco (Bayview)</t>
  </si>
  <si>
    <t>1601 Lane Street</t>
  </si>
  <si>
    <t>Public Services - Housing Place-Based Services</t>
  </si>
  <si>
    <t>73447-15</t>
  </si>
  <si>
    <t>Arab Cultural and Community Center</t>
  </si>
  <si>
    <t>2 plaza street</t>
  </si>
  <si>
    <t>73448-15</t>
  </si>
  <si>
    <t>Asian Americans Advancing Justice - Asian Law Caucus</t>
  </si>
  <si>
    <t>55 Columbus Avenue</t>
  </si>
  <si>
    <t>73595-15</t>
  </si>
  <si>
    <t>55 Columbus Ave</t>
  </si>
  <si>
    <t>78332-15</t>
  </si>
  <si>
    <t>Asian Neighborhood Design</t>
  </si>
  <si>
    <t>1245 Howard St.</t>
  </si>
  <si>
    <t>Housing Development Grants</t>
  </si>
  <si>
    <t>73666-15</t>
  </si>
  <si>
    <t>1245 Howard Street</t>
  </si>
  <si>
    <t>78485-15</t>
  </si>
  <si>
    <t>82715-15</t>
  </si>
  <si>
    <t>245 West Point Road Hunters Point Community Youth Park</t>
  </si>
  <si>
    <t>Community Building and Neighborhood Planning</t>
  </si>
  <si>
    <t>73449-15</t>
  </si>
  <si>
    <t>78160-15</t>
  </si>
  <si>
    <t>78157-15</t>
  </si>
  <si>
    <t>78687-15</t>
  </si>
  <si>
    <t>Asian Pacific American Community Center</t>
  </si>
  <si>
    <t>50 Raymond Ave.</t>
  </si>
  <si>
    <t>73450-15</t>
  </si>
  <si>
    <t>Asian Women's Shelter</t>
  </si>
  <si>
    <t>3543 18th Street #19</t>
  </si>
  <si>
    <t>Public Services - Homeless Services</t>
  </si>
  <si>
    <t>73451-15</t>
  </si>
  <si>
    <t>ASIAN, Inc.</t>
  </si>
  <si>
    <t>1167 Mission Street, 4th Floor</t>
  </si>
  <si>
    <t>Public Services - Sustainable Homeownership</t>
  </si>
  <si>
    <t>73454-15</t>
  </si>
  <si>
    <t>Bay Area Legal Aid</t>
  </si>
  <si>
    <t>1735 Telegraph Ave.</t>
  </si>
  <si>
    <t>73589-15</t>
  </si>
  <si>
    <t>1035 Market St., 6th Floor</t>
  </si>
  <si>
    <t>73600-15</t>
  </si>
  <si>
    <t>73621-15</t>
  </si>
  <si>
    <t>73622-15</t>
  </si>
  <si>
    <t>1035 Market Street, 6th Floor</t>
  </si>
  <si>
    <t>74642-15</t>
  </si>
  <si>
    <t>74678-15</t>
  </si>
  <si>
    <t>74692-15</t>
  </si>
  <si>
    <t>76983-15</t>
  </si>
  <si>
    <t>Bayview Hunters Point Multipurpose Senior Services</t>
  </si>
  <si>
    <t>1751 Carroll Avenue</t>
  </si>
  <si>
    <t>77844-15</t>
  </si>
  <si>
    <t>Bernal Heights Housing Corporation</t>
  </si>
  <si>
    <t>515 Cortland Ave.</t>
  </si>
  <si>
    <t>74677-15</t>
  </si>
  <si>
    <t>Bernal Heights Neighborhood Center</t>
  </si>
  <si>
    <t>515 Cortland Avenue</t>
  </si>
  <si>
    <t>73590-15</t>
  </si>
  <si>
    <t>73639-15</t>
  </si>
  <si>
    <t>73640-15</t>
  </si>
  <si>
    <t>73456-15</t>
  </si>
  <si>
    <t>73624-15</t>
  </si>
  <si>
    <t>75710-15</t>
  </si>
  <si>
    <t>Board of Trustees of the Glide Foundation</t>
  </si>
  <si>
    <t>330 Ellis St.</t>
  </si>
  <si>
    <t>73457-15</t>
  </si>
  <si>
    <t>Booker T. Washington Community Service Center</t>
  </si>
  <si>
    <t>800 Presidio Ave.</t>
  </si>
  <si>
    <t>Public Services - Foundational Competencies</t>
  </si>
  <si>
    <t>77856-15</t>
  </si>
  <si>
    <t>Boys &amp; Girls Clubs of San Francisco</t>
  </si>
  <si>
    <t>450 Guerrero Street</t>
  </si>
  <si>
    <t>77857-15</t>
  </si>
  <si>
    <t>163 London</t>
  </si>
  <si>
    <t>73458-15</t>
  </si>
  <si>
    <t>195 Kiska Road</t>
  </si>
  <si>
    <t>78226-15</t>
  </si>
  <si>
    <t>Brava! for Women in the Arts</t>
  </si>
  <si>
    <t>2781 24th Street</t>
  </si>
  <si>
    <t>73460-15</t>
  </si>
  <si>
    <t>BRIDGE Regional Partners, Inc.</t>
  </si>
  <si>
    <t>600 California Street, Suite 900</t>
  </si>
  <si>
    <t>78422-15</t>
  </si>
  <si>
    <t>73461-15</t>
  </si>
  <si>
    <t>Catholic Charities CYO</t>
  </si>
  <si>
    <t>990 Eddy St</t>
  </si>
  <si>
    <t>73462-15</t>
  </si>
  <si>
    <t>990 Eddy St.</t>
  </si>
  <si>
    <t>Public Services - Supportive Housing for PLWHA</t>
  </si>
  <si>
    <t>73463-15</t>
  </si>
  <si>
    <t>1340 Golden Gate Avenue</t>
  </si>
  <si>
    <t>74643-15</t>
  </si>
  <si>
    <t>74679-15</t>
  </si>
  <si>
    <t>990 Eddy Street</t>
  </si>
  <si>
    <t>82788-15</t>
  </si>
  <si>
    <t>75094-15</t>
  </si>
  <si>
    <t>73464-15</t>
  </si>
  <si>
    <t>Causa Justa :: Just Cause</t>
  </si>
  <si>
    <t>PO Box 3596</t>
  </si>
  <si>
    <t>78716-15</t>
  </si>
  <si>
    <t>2301 Mission Street</t>
  </si>
  <si>
    <t>73465-15</t>
  </si>
  <si>
    <t>Central American Resource Center (CARECEN)</t>
  </si>
  <si>
    <t>3101 Mission Street Suite 101</t>
  </si>
  <si>
    <t>73659-15</t>
  </si>
  <si>
    <t>78678-15</t>
  </si>
  <si>
    <t>3143 Mission Street</t>
  </si>
  <si>
    <t>73633-15</t>
  </si>
  <si>
    <t>Central City Hospitality House</t>
  </si>
  <si>
    <t>290 Turk Street</t>
  </si>
  <si>
    <t>73572-15</t>
  </si>
  <si>
    <t>Central Market Community Benefit District</t>
  </si>
  <si>
    <t>901 Market Street, Suite 490</t>
  </si>
  <si>
    <t>Public Services - Neighborhood and Business Coordination</t>
  </si>
  <si>
    <t>76984-15</t>
  </si>
  <si>
    <t>Charity Cultural Services Center</t>
  </si>
  <si>
    <t>743 Commercial Street</t>
  </si>
  <si>
    <t>73467-15</t>
  </si>
  <si>
    <t>Chinatown Community Development Center</t>
  </si>
  <si>
    <t>655 Clay Street</t>
  </si>
  <si>
    <t>73655-15</t>
  </si>
  <si>
    <t>663 Clay Street</t>
  </si>
  <si>
    <t>73726-15</t>
  </si>
  <si>
    <t>1525 Grant Avenue</t>
  </si>
  <si>
    <t>74633-15</t>
  </si>
  <si>
    <t>77868-15</t>
  </si>
  <si>
    <t>82718-15</t>
  </si>
  <si>
    <t>1525 Grant Ave.</t>
  </si>
  <si>
    <t>78414-15</t>
  </si>
  <si>
    <t>78415-15</t>
  </si>
  <si>
    <t>73686-15</t>
  </si>
  <si>
    <t>1590 Broadway</t>
  </si>
  <si>
    <t>73648-15</t>
  </si>
  <si>
    <t>Chinese for Affirmative Action</t>
  </si>
  <si>
    <t>17 Walter U Lum Place</t>
  </si>
  <si>
    <t>78698-15</t>
  </si>
  <si>
    <t>17 Walter U. Lum Place</t>
  </si>
  <si>
    <t>78688-15</t>
  </si>
  <si>
    <t>Chinese Newcomers Service Center</t>
  </si>
  <si>
    <t>777 Stockton Street, #104</t>
  </si>
  <si>
    <t>82847-15</t>
  </si>
  <si>
    <t>Chinese Progressive Association</t>
  </si>
  <si>
    <t>1042 Grant Ave. 5th Flr.</t>
  </si>
  <si>
    <t>78697-15</t>
  </si>
  <si>
    <t>1042 Grant Ave 5th Floor</t>
  </si>
  <si>
    <t>74634-15</t>
  </si>
  <si>
    <t>73565-15</t>
  </si>
  <si>
    <t>77963-15</t>
  </si>
  <si>
    <t>Collective Impact (dba Mo' Magic)</t>
  </si>
  <si>
    <t>1050 Mcallister st</t>
  </si>
  <si>
    <t>73470-15</t>
  </si>
  <si>
    <t>Community Awareness &amp; Treatment Services</t>
  </si>
  <si>
    <t>1049 Howard St.</t>
  </si>
  <si>
    <t>78381-15</t>
  </si>
  <si>
    <t>637 South Van Ness Ave.</t>
  </si>
  <si>
    <t>78045-15</t>
  </si>
  <si>
    <t>Community Design Center</t>
  </si>
  <si>
    <t>5 Thomas Mellon Circle, Unit 128</t>
  </si>
  <si>
    <t>76985-15</t>
  </si>
  <si>
    <t>82719-15</t>
  </si>
  <si>
    <t>Community Housing Partnership</t>
  </si>
  <si>
    <t>20 Jones St. Ste. 200</t>
  </si>
  <si>
    <t>73626-15</t>
  </si>
  <si>
    <t>Community Youth Center-San Francisco (CYC-SF)</t>
  </si>
  <si>
    <t>1038 Post Street</t>
  </si>
  <si>
    <t>73627-15</t>
  </si>
  <si>
    <t>4438 Third Street</t>
  </si>
  <si>
    <t>73690-15</t>
  </si>
  <si>
    <t>77865-15</t>
  </si>
  <si>
    <t>73473-15</t>
  </si>
  <si>
    <t>Organizational Capacity Building</t>
  </si>
  <si>
    <t>73604-15</t>
  </si>
  <si>
    <t>Compass Family Services</t>
  </si>
  <si>
    <t>995 Market Street, 5th Floor</t>
  </si>
  <si>
    <t>73605-15</t>
  </si>
  <si>
    <t>626 Polk Street</t>
  </si>
  <si>
    <t>83166-15</t>
  </si>
  <si>
    <t>111 Page Street</t>
  </si>
  <si>
    <t>73475-15</t>
  </si>
  <si>
    <t>Compasspoint Nonprofit Services</t>
  </si>
  <si>
    <t>500 12th Street, Suite 320</t>
  </si>
  <si>
    <t>75550-15</t>
  </si>
  <si>
    <t>73476-15</t>
  </si>
  <si>
    <t>Consumer Credit Counseling Service of San Francisco</t>
  </si>
  <si>
    <t>595 Market St. 15th Floor</t>
  </si>
  <si>
    <t>73654-15</t>
  </si>
  <si>
    <t>Public Services - Financial Counseling Integration Pilot</t>
  </si>
  <si>
    <t>74698-15</t>
  </si>
  <si>
    <t>595 Market Street - 15th Floor</t>
  </si>
  <si>
    <t>Public Services - Access to Housing</t>
  </si>
  <si>
    <t>81964-15</t>
  </si>
  <si>
    <t>595 Market Street, 15th Floor</t>
  </si>
  <si>
    <t>73477-15</t>
  </si>
  <si>
    <t>Corporation for Supportive Housing</t>
  </si>
  <si>
    <t>369 Pine Street, Suite 350</t>
  </si>
  <si>
    <t>75068-15</t>
  </si>
  <si>
    <t>369 Pine St., Suite 350</t>
  </si>
  <si>
    <t>76986-15</t>
  </si>
  <si>
    <t>Cross Cultural Family Center</t>
  </si>
  <si>
    <t>P. O. Box 15366</t>
  </si>
  <si>
    <t>73478-15</t>
  </si>
  <si>
    <t>Dolores Street Community Services</t>
  </si>
  <si>
    <t>938 Valencia St</t>
  </si>
  <si>
    <t>73613-15</t>
  </si>
  <si>
    <t>220 Dolores Street</t>
  </si>
  <si>
    <t>73674-15</t>
  </si>
  <si>
    <t>73679-15</t>
  </si>
  <si>
    <t>938 Valencia Street</t>
  </si>
  <si>
    <t>73683-15</t>
  </si>
  <si>
    <t>82674-15</t>
  </si>
  <si>
    <t>938 Valencia</t>
  </si>
  <si>
    <t>77858-15</t>
  </si>
  <si>
    <t>73479-15</t>
  </si>
  <si>
    <t>Donaldina Cameron House</t>
  </si>
  <si>
    <t>920 Sacramento Street</t>
  </si>
  <si>
    <t>73623-15</t>
  </si>
  <si>
    <t>73749-15</t>
  </si>
  <si>
    <t>73662-15</t>
  </si>
  <si>
    <t>920 Sacramento St.</t>
  </si>
  <si>
    <t>76055-15</t>
  </si>
  <si>
    <t>73573-15</t>
  </si>
  <si>
    <t>EARN (Earned Assets Resource Network)</t>
  </si>
  <si>
    <t>235 Montgomery Street, Suite 470</t>
  </si>
  <si>
    <t>Public Services - Financial Education</t>
  </si>
  <si>
    <t>83188-15</t>
  </si>
  <si>
    <t>73480-15</t>
  </si>
  <si>
    <t>Earned Assets Resource Network/Office of the Treasurer</t>
  </si>
  <si>
    <t>1155 Market Street</t>
  </si>
  <si>
    <t>78489-15</t>
  </si>
  <si>
    <t>1155 Market Street, 8th Floor</t>
  </si>
  <si>
    <t>73591-15</t>
  </si>
  <si>
    <t>Episcopal Community Services of San Francisco</t>
  </si>
  <si>
    <t>201 8th Street</t>
  </si>
  <si>
    <t>73598-15</t>
  </si>
  <si>
    <t>165 - 8th Street, 3rd Floor</t>
  </si>
  <si>
    <t>73483-15</t>
  </si>
  <si>
    <t>Eviction Defense Collaborative, Inc.</t>
  </si>
  <si>
    <t>995 Market Street, #995</t>
  </si>
  <si>
    <t>73594-15</t>
  </si>
  <si>
    <t>995 Market Street, #1200</t>
  </si>
  <si>
    <t>73719-15</t>
  </si>
  <si>
    <t>73720-15</t>
  </si>
  <si>
    <t>73574-15</t>
  </si>
  <si>
    <t>Filipino American Development Foundation</t>
  </si>
  <si>
    <t>1010 Mission Street</t>
  </si>
  <si>
    <t>75069-15</t>
  </si>
  <si>
    <t>74696-15</t>
  </si>
  <si>
    <t>Filipino American Development Foundation (FADF)/South of Market Community A</t>
  </si>
  <si>
    <t>1110 Howard Street</t>
  </si>
  <si>
    <t>75070-15</t>
  </si>
  <si>
    <t>77866-15</t>
  </si>
  <si>
    <t>78033-15</t>
  </si>
  <si>
    <t>73484-15</t>
  </si>
  <si>
    <t>73485-15</t>
  </si>
  <si>
    <t>Filipino American Development Foundation/Pin@y Educational Partnerships (PE</t>
  </si>
  <si>
    <t>Balboa High School- 1000 Cayuga Ave</t>
  </si>
  <si>
    <t>73486-15</t>
  </si>
  <si>
    <t>Filipino-American Development Foundation: Filipino Community Center</t>
  </si>
  <si>
    <t>4681 Mission Street</t>
  </si>
  <si>
    <t>73652-15</t>
  </si>
  <si>
    <t>73487-15</t>
  </si>
  <si>
    <t>Friendship House Association of American Indians</t>
  </si>
  <si>
    <t>56 Julian Ave</t>
  </si>
  <si>
    <t>73677-15</t>
  </si>
  <si>
    <t>73488-15</t>
  </si>
  <si>
    <t>Good Samaritan Family Resource Center</t>
  </si>
  <si>
    <t>1294 Potrero Avenue</t>
  </si>
  <si>
    <t>76601-15</t>
  </si>
  <si>
    <t>GRID Alternatives</t>
  </si>
  <si>
    <t>1171 Ocean Avenue, Suite 200</t>
  </si>
  <si>
    <t>73490-15</t>
  </si>
  <si>
    <t>Gum Moon Residence Hall</t>
  </si>
  <si>
    <t>2327 Clement Street</t>
  </si>
  <si>
    <t>73607-15</t>
  </si>
  <si>
    <t>65 Beverly Street</t>
  </si>
  <si>
    <t>73656-15</t>
  </si>
  <si>
    <t>940 Washington Street</t>
  </si>
  <si>
    <t>Public Services - Transitional Housing &amp; Services</t>
  </si>
  <si>
    <t>73750-15</t>
  </si>
  <si>
    <t>2327 Clement St</t>
  </si>
  <si>
    <t>73491-15</t>
  </si>
  <si>
    <t>Hamilton Families</t>
  </si>
  <si>
    <t>260 GOLDEN GATE AVE</t>
  </si>
  <si>
    <t>73641-15</t>
  </si>
  <si>
    <t>255 Hyde Street</t>
  </si>
  <si>
    <t>73663-15</t>
  </si>
  <si>
    <t>255 Hyde St</t>
  </si>
  <si>
    <t>73609-15</t>
  </si>
  <si>
    <t>Hearing and Speech Center of Northern California</t>
  </si>
  <si>
    <t>1234 Divisadero St.</t>
  </si>
  <si>
    <t>73628-15</t>
  </si>
  <si>
    <t>Homeless Children's Network</t>
  </si>
  <si>
    <t>3450 3rd Street Unit 1C</t>
  </si>
  <si>
    <t>73494-15</t>
  </si>
  <si>
    <t>73495-15</t>
  </si>
  <si>
    <t>Homeless Prenatal Program, Inc.</t>
  </si>
  <si>
    <t>2500 18th St.</t>
  </si>
  <si>
    <t>73496-15</t>
  </si>
  <si>
    <t>HomeownershipSF</t>
  </si>
  <si>
    <t>275 5th St. Ste 314</t>
  </si>
  <si>
    <t>74626-15</t>
  </si>
  <si>
    <t>275 5th Street #314</t>
  </si>
  <si>
    <t>78182-15</t>
  </si>
  <si>
    <t>73658-15</t>
  </si>
  <si>
    <t>73497-15</t>
  </si>
  <si>
    <t>Homies Organizing the Mission to Empower Youth (HOMEY)</t>
  </si>
  <si>
    <t>1337 Mission Street, Second Floor</t>
  </si>
  <si>
    <t>73498-15</t>
  </si>
  <si>
    <t>Housing and Economic Rights Advocates</t>
  </si>
  <si>
    <t>1814 Franklin Street, Suite #1040</t>
  </si>
  <si>
    <t>73499-15</t>
  </si>
  <si>
    <t>Independent Living Resource Center of SF</t>
  </si>
  <si>
    <t>825 Howard Street</t>
  </si>
  <si>
    <t>73500-15</t>
  </si>
  <si>
    <t>Instituto Laboral de la Raza</t>
  </si>
  <si>
    <t>2947 - 16th Street</t>
  </si>
  <si>
    <t>73501-15</t>
  </si>
  <si>
    <t>Justice &amp; Diversity Center of the Bar Association of San Francisco</t>
  </si>
  <si>
    <t>301 Battery St., Third Fl.</t>
  </si>
  <si>
    <t>78700-15</t>
  </si>
  <si>
    <t>73631-15</t>
  </si>
  <si>
    <t>125 Hyde St.</t>
  </si>
  <si>
    <t>73502-15</t>
  </si>
  <si>
    <t>La Casa de las Madres</t>
  </si>
  <si>
    <t>1663 Mission Street, Suite 225</t>
  </si>
  <si>
    <t>73504-15</t>
  </si>
  <si>
    <t>La Raza Centro Legal</t>
  </si>
  <si>
    <t>474 Valencia St., Suite 295</t>
  </si>
  <si>
    <t>73505-15</t>
  </si>
  <si>
    <t>La Raza Community Resource Center</t>
  </si>
  <si>
    <t>474 Valencia Street Suite 100</t>
  </si>
  <si>
    <t>73619-15</t>
  </si>
  <si>
    <t>73506-15</t>
  </si>
  <si>
    <t>Larkin Street Youth Services</t>
  </si>
  <si>
    <t>129 Hyde St</t>
  </si>
  <si>
    <t>73651-15</t>
  </si>
  <si>
    <t>869 Ellis St</t>
  </si>
  <si>
    <t>77859-15</t>
  </si>
  <si>
    <t>869 Ellis Street</t>
  </si>
  <si>
    <t>73507-15</t>
  </si>
  <si>
    <t>Lavender Youth Rec. &amp; Info. Ct.(LYRIC)</t>
  </si>
  <si>
    <t>127 Collingwood Street</t>
  </si>
  <si>
    <t>74635-15</t>
  </si>
  <si>
    <t>Lawyers' Committee for Civil Rights of the San Francisco Bay Area</t>
  </si>
  <si>
    <t>131 Steuart Street, Suite 400</t>
  </si>
  <si>
    <t>73509-15</t>
  </si>
  <si>
    <t>Legal Assistance to the Elderly</t>
  </si>
  <si>
    <t>701 Sutter Street, 2nd Floor</t>
  </si>
  <si>
    <t>73510-15</t>
  </si>
  <si>
    <t>Legal Services For Children</t>
  </si>
  <si>
    <t>1254 Market Street</t>
  </si>
  <si>
    <t>73511-15</t>
  </si>
  <si>
    <t>Maitri Compassionate Care</t>
  </si>
  <si>
    <t>401 Duboce Ave.</t>
  </si>
  <si>
    <t>73632-15</t>
  </si>
  <si>
    <t>78213-15</t>
  </si>
  <si>
    <t>401 Duboce Avenue</t>
  </si>
  <si>
    <t>78214-15</t>
  </si>
  <si>
    <t>73512-15</t>
  </si>
  <si>
    <t>Mercy Housing CA XVII</t>
  </si>
  <si>
    <t>1360 mission st.</t>
  </si>
  <si>
    <t>73513-15</t>
  </si>
  <si>
    <t>Mercy Housing California</t>
  </si>
  <si>
    <t>1360 Mission St, Suite 300</t>
  </si>
  <si>
    <t>73514-15</t>
  </si>
  <si>
    <t>Mission Asset Fund</t>
  </si>
  <si>
    <t>3269 Mission Street</t>
  </si>
  <si>
    <t>73592-15</t>
  </si>
  <si>
    <t>Mission Economic Development Agency</t>
  </si>
  <si>
    <t>2301 Mission Street Suite 301</t>
  </si>
  <si>
    <t>73611-15</t>
  </si>
  <si>
    <t>73634-15</t>
  </si>
  <si>
    <t>76059-15</t>
  </si>
  <si>
    <t>2301 Mission St. Ste. 301</t>
  </si>
  <si>
    <t>75071-15</t>
  </si>
  <si>
    <t>Mission Hiring Hall</t>
  </si>
  <si>
    <t>1048 Folsom Street</t>
  </si>
  <si>
    <t>73620-15</t>
  </si>
  <si>
    <t>Mission Language and Vocational School, Inc.</t>
  </si>
  <si>
    <t>2929 19th Street</t>
  </si>
  <si>
    <t>78046-15</t>
  </si>
  <si>
    <t>2929 - 19th Street</t>
  </si>
  <si>
    <t>73518-15</t>
  </si>
  <si>
    <t>Mission Neighborhood Centers</t>
  </si>
  <si>
    <t>534 Precita Avenue</t>
  </si>
  <si>
    <t>76057-15</t>
  </si>
  <si>
    <t>534 Precita Ave.</t>
  </si>
  <si>
    <t>76056-15</t>
  </si>
  <si>
    <t>362 Capp Street</t>
  </si>
  <si>
    <t>73519-15</t>
  </si>
  <si>
    <t>Mission Neighborhood Health Center</t>
  </si>
  <si>
    <t>165 Capp Street</t>
  </si>
  <si>
    <t>74636-15</t>
  </si>
  <si>
    <t>Mujeres Unidas Activas</t>
  </si>
  <si>
    <t>3543 18th St., #23</t>
  </si>
  <si>
    <t>73520-15</t>
  </si>
  <si>
    <t>My Path</t>
  </si>
  <si>
    <t>2430 Mission Street</t>
  </si>
  <si>
    <t>73521-15</t>
  </si>
  <si>
    <t>Nihonmachi Legal Outreach</t>
  </si>
  <si>
    <t>1121 Mission Street</t>
  </si>
  <si>
    <t>73588-15</t>
  </si>
  <si>
    <t>73678-15</t>
  </si>
  <si>
    <t>73680-15</t>
  </si>
  <si>
    <t>73681-15</t>
  </si>
  <si>
    <t>73727-15</t>
  </si>
  <si>
    <t>74637-15</t>
  </si>
  <si>
    <t>76987-15</t>
  </si>
  <si>
    <t>Nihonmachi Little Friends</t>
  </si>
  <si>
    <t>1834 Sutter Street</t>
  </si>
  <si>
    <t>73523-15</t>
  </si>
  <si>
    <t>Northeast Community Federal Credit Union</t>
  </si>
  <si>
    <t>683 Clay Street</t>
  </si>
  <si>
    <t>73524-15</t>
  </si>
  <si>
    <t>Northern California Community Loan Fund</t>
  </si>
  <si>
    <t>870 Market St., Suite 677</t>
  </si>
  <si>
    <t>78325-15</t>
  </si>
  <si>
    <t>870 Market Street, Ste. 677</t>
  </si>
  <si>
    <t>82585-15</t>
  </si>
  <si>
    <t>870 Market St. Ste. 677</t>
  </si>
  <si>
    <t>82586-15</t>
  </si>
  <si>
    <t>870 Market Street, Suite 677</t>
  </si>
  <si>
    <t>78492-15</t>
  </si>
  <si>
    <t>870 Market Street., Suite 677</t>
  </si>
  <si>
    <t>76058-15</t>
  </si>
  <si>
    <t>82636-15</t>
  </si>
  <si>
    <t>78695-15</t>
  </si>
  <si>
    <t>Northern California Presbyterian Homes &amp; Services (NCPHS)</t>
  </si>
  <si>
    <t>2185 N. California Blvd., Ste. 575</t>
  </si>
  <si>
    <t>76988-15</t>
  </si>
  <si>
    <t>Openhouse</t>
  </si>
  <si>
    <t>55 Laguna Street</t>
  </si>
  <si>
    <t>78705-15</t>
  </si>
  <si>
    <t>Portola Family Connections</t>
  </si>
  <si>
    <t>2565 San Bruno Avenue</t>
  </si>
  <si>
    <t>73527-15</t>
  </si>
  <si>
    <t>73597-15</t>
  </si>
  <si>
    <t>Positive Resource Center</t>
  </si>
  <si>
    <t>785 Market Street, 10th Floor</t>
  </si>
  <si>
    <t>73615-15</t>
  </si>
  <si>
    <t>75072-15</t>
  </si>
  <si>
    <t>785 Market St 10th Floor</t>
  </si>
  <si>
    <t>73529-15</t>
  </si>
  <si>
    <t>Potrero Hill Neighborhood House</t>
  </si>
  <si>
    <t>953 DeHaro St</t>
  </si>
  <si>
    <t>73530-15</t>
  </si>
  <si>
    <t>Prevent Child Abuse California</t>
  </si>
  <si>
    <t>95 Washburn Street</t>
  </si>
  <si>
    <t>74697-15</t>
  </si>
  <si>
    <t>73531-15</t>
  </si>
  <si>
    <t>Providence Foundation</t>
  </si>
  <si>
    <t>4601 Third Street</t>
  </si>
  <si>
    <t>73532-15</t>
  </si>
  <si>
    <t>Rafiki Coalition for Health and Wellness</t>
  </si>
  <si>
    <t>601 Cesar Chavez Street</t>
  </si>
  <si>
    <t>78048-15</t>
  </si>
  <si>
    <t>1761 Turk Street</t>
  </si>
  <si>
    <t>74700-15</t>
  </si>
  <si>
    <t>Rebuilding Together San Francisco</t>
  </si>
  <si>
    <t>Pier 28 Suite 1</t>
  </si>
  <si>
    <t>75073-15</t>
  </si>
  <si>
    <t>73533-15</t>
  </si>
  <si>
    <t>75558-15</t>
  </si>
  <si>
    <t>75075-15</t>
  </si>
  <si>
    <t>Renaissance Entrepreneurship Center</t>
  </si>
  <si>
    <t>275 Fifth Street</t>
  </si>
  <si>
    <t>75076-15</t>
  </si>
  <si>
    <t>275 5th St</t>
  </si>
  <si>
    <t>75074-15</t>
  </si>
  <si>
    <t>275 5th Street</t>
  </si>
  <si>
    <t>77860-15</t>
  </si>
  <si>
    <t>77861-15</t>
  </si>
  <si>
    <t>Richmond District Neighborhood Center</t>
  </si>
  <si>
    <t>741 30th Avenue</t>
  </si>
  <si>
    <t>73614-15</t>
  </si>
  <si>
    <t>741 30th Ave</t>
  </si>
  <si>
    <t>73536-15</t>
  </si>
  <si>
    <t>San Francisco AIDS Foundation</t>
  </si>
  <si>
    <t>1 South Van Ness Ave.</t>
  </si>
  <si>
    <t>82710-15</t>
  </si>
  <si>
    <t>San Francisco Beautiful</t>
  </si>
  <si>
    <t>Fillmore and Geary</t>
  </si>
  <si>
    <t>78703-15</t>
  </si>
  <si>
    <t>San Francisco Community Empowerment Center</t>
  </si>
  <si>
    <t>2798 San Bruno avenue</t>
  </si>
  <si>
    <t>75045-15</t>
  </si>
  <si>
    <t>73606-15</t>
  </si>
  <si>
    <t>San Francisco Community Land Trust</t>
  </si>
  <si>
    <t>21 Columbus Ave #231</t>
  </si>
  <si>
    <t>73752-15</t>
  </si>
  <si>
    <t>73538-15</t>
  </si>
  <si>
    <t>San Francisco Conservation Corps</t>
  </si>
  <si>
    <t>5 Thomas Mellon Circle, Suite 248</t>
  </si>
  <si>
    <t>73539-15</t>
  </si>
  <si>
    <t>San Francisco Housing Development Corporation</t>
  </si>
  <si>
    <t>4439 Third Street</t>
  </si>
  <si>
    <t>73642-15</t>
  </si>
  <si>
    <t>73649-15</t>
  </si>
  <si>
    <t>73687-15</t>
  </si>
  <si>
    <t>73732-15</t>
  </si>
  <si>
    <t>78696-15</t>
  </si>
  <si>
    <t>73650-15</t>
  </si>
  <si>
    <t>73541-15</t>
  </si>
  <si>
    <t>San Francisco Parks Alliance</t>
  </si>
  <si>
    <t>1663 Mission St. Suite 320</t>
  </si>
  <si>
    <t>82359-15</t>
  </si>
  <si>
    <t>2 Burrows Street</t>
  </si>
  <si>
    <t>86891-15</t>
  </si>
  <si>
    <t>45 29th St.</t>
  </si>
  <si>
    <t>74638-15</t>
  </si>
  <si>
    <t>San Francisco Sheriff's Department 5 Keys Charter School</t>
  </si>
  <si>
    <t>70 Oak Grove</t>
  </si>
  <si>
    <t>73542-15</t>
  </si>
  <si>
    <t>San Francisco Study Center - Housing Rights Committee of San Francisco</t>
  </si>
  <si>
    <t>417 South Van Ness Avenue</t>
  </si>
  <si>
    <t>73596-15</t>
  </si>
  <si>
    <t>417 South Van Ness</t>
  </si>
  <si>
    <t>73629-15</t>
  </si>
  <si>
    <t>73630-15</t>
  </si>
  <si>
    <t>1663 Mission Street</t>
  </si>
  <si>
    <t>74703-15</t>
  </si>
  <si>
    <t>78674-15</t>
  </si>
  <si>
    <t>1663 Mission St., Ste. 504</t>
  </si>
  <si>
    <t>73543-15</t>
  </si>
  <si>
    <t>Self-Help for the Elderly</t>
  </si>
  <si>
    <t>601 Jackson Street, Basement</t>
  </si>
  <si>
    <t>73676-15</t>
  </si>
  <si>
    <t>74715-15</t>
  </si>
  <si>
    <t>SF CLOUT</t>
  </si>
  <si>
    <t>1188 Franklin Street</t>
  </si>
  <si>
    <t>73643-15</t>
  </si>
  <si>
    <t>SF LGBT Community Center</t>
  </si>
  <si>
    <t>1800 Market St.</t>
  </si>
  <si>
    <t>74627-15</t>
  </si>
  <si>
    <t>1800 Market St</t>
  </si>
  <si>
    <t>78677-15</t>
  </si>
  <si>
    <t>1800 Market Street</t>
  </si>
  <si>
    <t>73636-15</t>
  </si>
  <si>
    <t>78218-15</t>
  </si>
  <si>
    <t>73724-15</t>
  </si>
  <si>
    <t>Southeast Asian Community Center</t>
  </si>
  <si>
    <t>875 O'Farrell Street</t>
  </si>
  <si>
    <t>73547-15</t>
  </si>
  <si>
    <t>Sunset District Comm. Develop. Corp. dba Sunset Youth Services</t>
  </si>
  <si>
    <t>3918 Lawton St.</t>
  </si>
  <si>
    <t>73548-15</t>
  </si>
  <si>
    <t>Swords to Plowshares Veterans Rights Organization</t>
  </si>
  <si>
    <t>1060 Howard St.</t>
  </si>
  <si>
    <t>76990-15</t>
  </si>
  <si>
    <t>Telegraph Hill Neighborhood Association</t>
  </si>
  <si>
    <t>660 Lombard Street</t>
  </si>
  <si>
    <t>73549-15</t>
  </si>
  <si>
    <t>Tenderloin Housing Clinic, Inc.</t>
  </si>
  <si>
    <t>48 Turk Street</t>
  </si>
  <si>
    <t>73644-15</t>
  </si>
  <si>
    <t>126 Hyde Street, 2nd Floor</t>
  </si>
  <si>
    <t>75733-15</t>
  </si>
  <si>
    <t>126 Hyde Street</t>
  </si>
  <si>
    <t>73550-15</t>
  </si>
  <si>
    <t>Tenderloin Neighborhood Development Corporation</t>
  </si>
  <si>
    <t>215 Taylor Street</t>
  </si>
  <si>
    <t>73672-15</t>
  </si>
  <si>
    <t>73551-15</t>
  </si>
  <si>
    <t>The Arc San Francisco</t>
  </si>
  <si>
    <t>1500 Howard Street</t>
  </si>
  <si>
    <t>78699-15</t>
  </si>
  <si>
    <t>Tides Center / PODER</t>
  </si>
  <si>
    <t>1014 Torney Avenue</t>
  </si>
  <si>
    <t>78675-15</t>
  </si>
  <si>
    <t>474 Valencia St.</t>
  </si>
  <si>
    <t>74639-15</t>
  </si>
  <si>
    <t>1014 Torney Ave</t>
  </si>
  <si>
    <t>73570-15</t>
  </si>
  <si>
    <t>73554-15</t>
  </si>
  <si>
    <t>United Playaz</t>
  </si>
  <si>
    <t>1038 Howard Street</t>
  </si>
  <si>
    <t>75077-15</t>
  </si>
  <si>
    <t>73671-15</t>
  </si>
  <si>
    <t>74622-15</t>
  </si>
  <si>
    <t>76992-15</t>
  </si>
  <si>
    <t>Uptown Tenderloin, Inc.</t>
  </si>
  <si>
    <t>398 Eddy Street</t>
  </si>
  <si>
    <t>73556-15</t>
  </si>
  <si>
    <t>Urban Services YMCA</t>
  </si>
  <si>
    <t>1426 Fillmore St, Suite 204</t>
  </si>
  <si>
    <t>73616-15</t>
  </si>
  <si>
    <t>241 Oneida Avenue, Room 181</t>
  </si>
  <si>
    <t>73617-15</t>
  </si>
  <si>
    <t>73618-15</t>
  </si>
  <si>
    <t>1426 Fillmore St., Suite 204</t>
  </si>
  <si>
    <t>74640-15</t>
  </si>
  <si>
    <t>75078-15</t>
  </si>
  <si>
    <t>Urban Solutions</t>
  </si>
  <si>
    <t>1167 Mission Street, 2nd floor</t>
  </si>
  <si>
    <t>73557-15</t>
  </si>
  <si>
    <t>Veterans Equity Center</t>
  </si>
  <si>
    <t>73599-15</t>
  </si>
  <si>
    <t>73725-15</t>
  </si>
  <si>
    <t>74704-15</t>
  </si>
  <si>
    <t>74705-15</t>
  </si>
  <si>
    <t>75056-15</t>
  </si>
  <si>
    <t>77867-15</t>
  </si>
  <si>
    <t>73682-15</t>
  </si>
  <si>
    <t>Vietnamese Youth Development Center</t>
  </si>
  <si>
    <t>166 Eddy Street</t>
  </si>
  <si>
    <t>78679-15</t>
  </si>
  <si>
    <t>78504-15</t>
  </si>
  <si>
    <t>West Bay Pilipino Multi Service Corporation</t>
  </si>
  <si>
    <t>175 7th Street</t>
  </si>
  <si>
    <t>73576-15</t>
  </si>
  <si>
    <t>75079-15</t>
  </si>
  <si>
    <t>73559-15</t>
  </si>
  <si>
    <t>Wu Yee Children's Services</t>
  </si>
  <si>
    <t>827 Broadway</t>
  </si>
  <si>
    <t>74628-15</t>
  </si>
  <si>
    <t>78037-15</t>
  </si>
  <si>
    <t>700 Velasco</t>
  </si>
  <si>
    <t>73593-15</t>
  </si>
  <si>
    <t>73560-15</t>
  </si>
  <si>
    <t>YMCA of San Francisco (Bayview)</t>
  </si>
  <si>
    <t>1600 Lane Street</t>
  </si>
  <si>
    <t>73653-15</t>
  </si>
  <si>
    <t>73675-15</t>
  </si>
  <si>
    <t>1065 Oakdale</t>
  </si>
  <si>
    <t>73552-15</t>
  </si>
  <si>
    <t>YMCA of San Francisco (Bayview)/Together United Recommitted Forever (T.U.R.F.)</t>
  </si>
  <si>
    <t>1652 Sunnydale Ave</t>
  </si>
  <si>
    <t>73673-15</t>
  </si>
  <si>
    <t>73561-15</t>
  </si>
  <si>
    <t>YMCA of San Francisco (Chinatown Branch)</t>
  </si>
  <si>
    <t>855 Sacramento St.</t>
  </si>
  <si>
    <t>77864-15</t>
  </si>
  <si>
    <t>855 Sacramento Street</t>
  </si>
  <si>
    <t>Row Labels</t>
  </si>
  <si>
    <t>Grand Total</t>
  </si>
  <si>
    <t>Sum of Total</t>
  </si>
  <si>
    <t>program</t>
  </si>
  <si>
    <t>spent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</si>
</sst>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/>
    <cx:plotArea>
      <cx:plotAreaRegion>
        <cx:series layoutId="clusteredColumn" uniqueId="{7FA84897-9C7D-8F4D-9F24-5BD6D318DB23}">
          <cx:dataId val="0"/>
          <cx:layoutPr>
            <cx:binning intervalClosed="r">
              <cx:binSize val="1000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152400</xdr:colOff>
      <xdr:row>258</xdr:row>
      <xdr:rowOff>38100</xdr:rowOff>
    </xdr:from>
    <xdr:to>
      <xdr:col>26</xdr:col>
      <xdr:colOff>800100</xdr:colOff>
      <xdr:row>283</xdr:row>
      <xdr:rowOff>25400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83DC691-5267-5D46-A81B-6081223EEE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999700" y="52463700"/>
              <a:ext cx="9728200" cy="506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yan Morrill" refreshedDate="43317.548405092595" createdVersion="6" refreshedVersion="6" minRefreshableVersion="3" recordCount="308">
  <cacheSource type="worksheet">
    <worksheetSource ref="A1:L309" sheet="Community_Development_Projects_"/>
  </cacheSource>
  <cacheFields count="12">
    <cacheField name="ProjectID" numFmtId="0">
      <sharedItems/>
    </cacheField>
    <cacheField name="Agency Name" numFmtId="0">
      <sharedItems count="129">
        <s v="AIDS Housing Alliance"/>
        <s v="AIDS Legal Referral Panel of the SF Bay Area"/>
        <s v="APA Family Support Services"/>
        <s v="APA Family Support Services/SCDC"/>
        <s v="APA Family Support Services/YMCA of San Francisco (Bayview)"/>
        <s v="Arab Cultural and Community Center"/>
        <s v="Asian Americans Advancing Justice - Asian Law Caucus"/>
        <s v="Asian Neighborhood Design"/>
        <s v="Asian Pacific American Community Center"/>
        <s v="Asian Women's Shelter"/>
        <s v="ASIAN, Inc."/>
        <s v="Bay Area Legal Aid"/>
        <s v="Bayview Hunters Point Multipurpose Senior Services"/>
        <s v="Bernal Heights Housing Corporation"/>
        <s v="Bernal Heights Neighborhood Center"/>
        <s v="Board of Trustees of the Glide Foundation"/>
        <s v="Booker T. Washington Community Service Center"/>
        <s v="Boys &amp; Girls Clubs of San Francisco"/>
        <s v="Brava! for Women in the Arts"/>
        <s v="BRIDGE Regional Partners, Inc."/>
        <s v="Catholic Charities CYO"/>
        <s v="Causa Justa :: Just Cause"/>
        <s v="Central American Resource Center (CARECEN)"/>
        <s v="Central City Hospitality House"/>
        <s v="Central Market Community Benefit District"/>
        <s v="Charity Cultural Services Center"/>
        <s v="Chinatown Community Development Center"/>
        <s v="Chinese for Affirmative Action"/>
        <s v="Chinese Newcomers Service Center"/>
        <s v="Chinese Progressive Association"/>
        <s v="Collective Impact (dba Mo' Magic)"/>
        <s v="Community Awareness &amp; Treatment Services"/>
        <s v="Community Design Center"/>
        <s v="Community Housing Partnership"/>
        <s v="Community Youth Center-San Francisco (CYC-SF)"/>
        <s v="Compass Family Services"/>
        <s v="Compasspoint Nonprofit Services"/>
        <s v="Consumer Credit Counseling Service of San Francisco"/>
        <s v="Corporation for Supportive Housing"/>
        <s v="Cross Cultural Family Center"/>
        <s v="Dolores Street Community Services"/>
        <s v="Donaldina Cameron House"/>
        <s v="EARN (Earned Assets Resource Network)"/>
        <s v="Earned Assets Resource Network/Office of the Treasurer"/>
        <s v="Episcopal Community Services of San Francisco"/>
        <s v="Eviction Defense Collaborative, Inc."/>
        <s v="Filipino American Development Foundation"/>
        <s v="Filipino American Development Foundation (FADF)/South of Market Community A"/>
        <s v="Filipino American Development Foundation/Pin@y Educational Partnerships (PE"/>
        <s v="Filipino-American Development Foundation: Filipino Community Center"/>
        <s v="Friendship House Association of American Indians"/>
        <s v="Good Samaritan Family Resource Center"/>
        <s v="GRID Alternatives"/>
        <s v="Gum Moon Residence Hall"/>
        <s v="Hamilton Families"/>
        <s v="Hearing and Speech Center of Northern California"/>
        <s v="Homeless Children's Network"/>
        <s v="Homeless Prenatal Program, Inc."/>
        <s v="HomeownershipSF"/>
        <s v="Homies Organizing the Mission to Empower Youth (HOMEY)"/>
        <s v="Housing and Economic Rights Advocates"/>
        <s v="Independent Living Resource Center of SF"/>
        <s v="Instituto Laboral de la Raza"/>
        <s v="Justice &amp; Diversity Center of the Bar Association of San Francisco"/>
        <s v="La Casa de las Madres"/>
        <s v="La Raza Centro Legal"/>
        <s v="La Raza Community Resource Center"/>
        <s v="Larkin Street Youth Services"/>
        <s v="Lavender Youth Rec. &amp; Info. Ct.(LYRIC)"/>
        <s v="Lawyers' Committee for Civil Rights of the San Francisco Bay Area"/>
        <s v="Legal Assistance to the Elderly"/>
        <s v="Legal Services For Children"/>
        <s v="Maitri Compassionate Care"/>
        <s v="Mercy Housing CA XVII"/>
        <s v="Mercy Housing California"/>
        <s v="Mission Asset Fund"/>
        <s v="Mission Economic Development Agency"/>
        <s v="Mission Hiring Hall"/>
        <s v="Mission Language and Vocational School, Inc."/>
        <s v="Mission Neighborhood Centers"/>
        <s v="Mission Neighborhood Health Center"/>
        <s v="Mujeres Unidas Activas"/>
        <s v="My Path"/>
        <s v="Nihonmachi Legal Outreach"/>
        <s v="Nihonmachi Little Friends"/>
        <s v="Northeast Community Federal Credit Union"/>
        <s v="Northern California Community Loan Fund"/>
        <s v="Northern California Presbyterian Homes &amp; Services (NCPHS)"/>
        <s v="Openhouse"/>
        <s v="Portola Family Connections"/>
        <s v="Positive Resource Center"/>
        <s v="Potrero Hill Neighborhood House"/>
        <s v="Prevent Child Abuse California"/>
        <s v="Providence Foundation"/>
        <s v="Rafiki Coalition for Health and Wellness"/>
        <s v="Rebuilding Together San Francisco"/>
        <s v="Renaissance Entrepreneurship Center"/>
        <s v="Richmond District Neighborhood Center"/>
        <s v="San Francisco AIDS Foundation"/>
        <s v="San Francisco Beautiful"/>
        <s v="San Francisco Community Empowerment Center"/>
        <s v="San Francisco Community Land Trust"/>
        <s v="San Francisco Conservation Corps"/>
        <s v="San Francisco Housing Development Corporation"/>
        <s v="San Francisco Parks Alliance"/>
        <s v="San Francisco Sheriff's Department 5 Keys Charter School"/>
        <s v="San Francisco Study Center - Housing Rights Committee of San Francisco"/>
        <s v="Self-Help for the Elderly"/>
        <s v="SF CLOUT"/>
        <s v="SF LGBT Community Center"/>
        <s v="Southeast Asian Community Center"/>
        <s v="Sunset District Comm. Develop. Corp. dba Sunset Youth Services"/>
        <s v="Swords to Plowshares Veterans Rights Organization"/>
        <s v="Telegraph Hill Neighborhood Association"/>
        <s v="Tenderloin Housing Clinic, Inc."/>
        <s v="Tenderloin Neighborhood Development Corporation"/>
        <s v="The Arc San Francisco"/>
        <s v="Tides Center / PODER"/>
        <s v="United Playaz"/>
        <s v="Uptown Tenderloin, Inc."/>
        <s v="Urban Services YMCA"/>
        <s v="Urban Solutions"/>
        <s v="Veterans Equity Center"/>
        <s v="Vietnamese Youth Development Center"/>
        <s v="West Bay Pilipino Multi Service Corporation"/>
        <s v="Wu Yee Children's Services"/>
        <s v="YMCA of San Francisco (Bayview)"/>
        <s v="YMCA of San Francisco (Bayview)/Together United Recommitted Forever (T.U.R.F.)"/>
        <s v="YMCA of San Francisco (Chinatown Branch)"/>
      </sharedItems>
    </cacheField>
    <cacheField name="Official Address" numFmtId="0">
      <sharedItems/>
    </cacheField>
    <cacheField name="Program Area" numFmtId="0">
      <sharedItems count="17">
        <s v="Public Services - Eviction Prevention"/>
        <s v="Public Services - Legal Services"/>
        <s v="Capital Projects"/>
        <s v="Public Services - Service Connection"/>
        <s v="Public Services - Housing Place-Based Services"/>
        <s v="Housing Development Grants"/>
        <s v="Community Building and Neighborhood Planning"/>
        <s v="Public Services - Homeless Services"/>
        <s v="Public Services - Sustainable Homeownership"/>
        <s v="Public Services - Foundational Competencies"/>
        <s v="Public Services - Supportive Housing for PLWHA"/>
        <s v="Public Services - Neighborhood and Business Coordination"/>
        <s v="Organizational Capacity Building"/>
        <s v="Public Services - Financial Counseling Integration Pilot"/>
        <s v="Public Services - Access to Housing"/>
        <s v="Public Services - Financial Education"/>
        <s v="Public Services - Transitional Housing &amp; Services"/>
      </sharedItems>
    </cacheField>
    <cacheField name="General Fund" numFmtId="0">
      <sharedItems containsString="0" containsBlank="1" containsNumber="1" minValue="602.71" maxValue="1320457.6399999999"/>
    </cacheField>
    <cacheField name="HOPWA" numFmtId="0">
      <sharedItems containsString="0" containsBlank="1" containsNumber="1" minValue="32900" maxValue="1683973"/>
    </cacheField>
    <cacheField name="Housing Trust Fund" numFmtId="0">
      <sharedItems containsString="0" containsBlank="1" containsNumber="1" minValue="12415.88" maxValue="559298"/>
    </cacheField>
    <cacheField name="CDBG" numFmtId="0">
      <sharedItems containsString="0" containsBlank="1" containsNumber="1" minValue="0" maxValue="375000"/>
    </cacheField>
    <cacheField name="ESG" numFmtId="0">
      <sharedItems containsString="0" containsBlank="1" containsNumber="1" containsInteger="1" minValue="43333" maxValue="190000"/>
    </cacheField>
    <cacheField name="SOMA" numFmtId="0">
      <sharedItems containsString="0" containsBlank="1" containsNumber="1" minValue="5000" maxValue="88333.04"/>
    </cacheField>
    <cacheField name="Other" numFmtId="0">
      <sharedItems containsString="0" containsBlank="1" containsNumber="1" minValue="0" maxValue="756461"/>
    </cacheField>
    <cacheField name="Total" numFmtId="0">
      <sharedItems containsSemiMixedTypes="0" containsString="0" containsNumber="1" minValue="0" maxValue="1683973" count="191">
        <n v="150000"/>
        <n v="294426"/>
        <n v="51250"/>
        <n v="82000"/>
        <n v="293000"/>
        <n v="5109.3900000000003"/>
        <n v="50000"/>
        <n v="20500"/>
        <n v="216662"/>
        <n v="52000"/>
        <n v="124196"/>
        <n v="41210.410000000003"/>
        <n v="50828"/>
        <n v="3580.87"/>
        <n v="15000"/>
        <n v="45000"/>
        <n v="29705.1"/>
        <n v="13369.25"/>
        <n v="99986.4"/>
        <n v="102000"/>
        <n v="124958.02"/>
        <n v="38855.75"/>
        <n v="100000"/>
        <n v="54764"/>
        <n v="127478.84"/>
        <n v="358750"/>
        <n v="200000"/>
        <n v="290178"/>
        <n v="90000"/>
        <n v="43054.68"/>
        <n v="35000"/>
        <n v="27750"/>
        <n v="128125"/>
        <n v="190817"/>
        <n v="40000"/>
        <n v="220918"/>
        <n v="120000"/>
        <n v="42500"/>
        <n v="155000"/>
        <n v="75000"/>
        <n v="190000"/>
        <n v="1683973"/>
        <n v="758187"/>
        <n v="686093.39"/>
        <n v="69133.22"/>
        <n v="433188"/>
        <n v="147897"/>
        <n v="250000"/>
        <n v="1320457.6399999999"/>
        <n v="80000"/>
        <n v="65000"/>
        <n v="20000"/>
        <n v="52723.7"/>
        <n v="12628.64"/>
        <n v="83583.259999999995"/>
        <n v="99530"/>
        <n v="45286.5"/>
        <n v="52646.99"/>
        <n v="70200.28"/>
        <n v="19005"/>
        <n v="469500"/>
        <n v="93500"/>
        <n v="38634"/>
        <n v="15125"/>
        <n v="602.71"/>
        <n v="174790"/>
        <n v="41680"/>
        <n v="8809.74"/>
        <n v="50603"/>
        <n v="148519.01999999999"/>
        <n v="52524"/>
        <n v="87000"/>
        <n v="375000"/>
        <n v="14386.75"/>
        <n v="907787.21"/>
        <n v="0"/>
        <n v="360000"/>
        <n v="21936.45"/>
        <n v="27467"/>
        <n v="1209800"/>
        <n v="479350"/>
        <n v="224475"/>
        <n v="52176"/>
        <n v="58976.82"/>
        <n v="6708.25"/>
        <n v="168362"/>
        <n v="189433"/>
        <n v="30000"/>
        <n v="14000"/>
        <n v="81116"/>
        <n v="70000"/>
        <n v="121643.4"/>
        <n v="642018"/>
        <n v="207245.01"/>
        <n v="410000"/>
        <n v="38036.769999999997"/>
        <n v="18763.04"/>
        <n v="91000"/>
        <n v="61900.13"/>
        <n v="20700"/>
        <n v="92250"/>
        <n v="92942"/>
        <n v="55000"/>
        <n v="52275"/>
        <n v="175000"/>
        <n v="15847.47"/>
        <n v="26747"/>
        <n v="83333"/>
        <n v="87274"/>
        <n v="41398"/>
        <n v="79648.98"/>
        <n v="12415.88"/>
        <n v="60000"/>
        <n v="53059"/>
        <n v="348144"/>
        <n v="112000"/>
        <n v="102500"/>
        <n v="49852"/>
        <n v="492167"/>
        <n v="243174"/>
        <n v="174861.5"/>
        <n v="82237"/>
        <n v="221750"/>
        <n v="166115"/>
        <n v="68420"/>
        <n v="239922.68"/>
        <n v="350000"/>
        <n v="46873"/>
        <n v="205000"/>
        <n v="76659.38"/>
        <n v="49182.59"/>
        <n v="60412"/>
        <n v="47272"/>
        <n v="87125"/>
        <n v="256250"/>
        <n v="153334"/>
        <n v="58963"/>
        <n v="341000"/>
        <n v="59000"/>
        <n v="1166034.7"/>
        <n v="672723.76"/>
        <n v="230000"/>
        <n v="168300"/>
        <n v="80622"/>
        <n v="11149.35"/>
        <n v="32900"/>
        <n v="33711.83"/>
        <n v="115000"/>
        <n v="140000"/>
        <n v="103522"/>
        <n v="38000"/>
        <n v="106334"/>
        <n v="14393.15"/>
        <n v="36000"/>
        <n v="25000"/>
        <n v="300000"/>
        <n v="168587"/>
        <n v="85859"/>
        <n v="85000"/>
        <n v="165785.10999999999"/>
        <n v="165000"/>
        <n v="112750"/>
        <n v="25200"/>
        <n v="1437275"/>
        <n v="219716.32"/>
        <n v="119141"/>
        <n v="81111"/>
        <n v="85800"/>
        <n v="224073"/>
        <n v="87500"/>
        <n v="744947"/>
        <n v="123270"/>
        <n v="3820"/>
        <n v="76875"/>
        <n v="61760.78"/>
        <n v="20898"/>
        <n v="20300"/>
        <n v="402605.95"/>
        <n v="48015.92"/>
        <n v="210244"/>
        <n v="120932"/>
        <n v="16048.12"/>
        <n v="33070.1"/>
        <n v="62090.25"/>
        <n v="88333.04"/>
        <n v="5000"/>
        <n v="13344.67"/>
        <n v="107625"/>
        <n v="64473"/>
        <n v="668387"/>
        <n v="3843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8">
  <r>
    <s v="73443-15"/>
    <x v="0"/>
    <s v="350 Golden Gate Ave, Suite A"/>
    <x v="0"/>
    <m/>
    <m/>
    <m/>
    <m/>
    <n v="150000"/>
    <m/>
    <m/>
    <x v="0"/>
  </r>
  <r>
    <s v="73625-15"/>
    <x v="0"/>
    <s v="350 Golden Gate Avenue, Suite A"/>
    <x v="0"/>
    <n v="294426"/>
    <m/>
    <m/>
    <m/>
    <m/>
    <m/>
    <m/>
    <x v="1"/>
  </r>
  <r>
    <s v="73444-15"/>
    <x v="1"/>
    <s v="1663 Mission St Suite 500"/>
    <x v="1"/>
    <n v="51250"/>
    <m/>
    <m/>
    <m/>
    <m/>
    <m/>
    <m/>
    <x v="2"/>
  </r>
  <r>
    <s v="73660-15"/>
    <x v="1"/>
    <s v="1663 Mission St Suite 500"/>
    <x v="1"/>
    <m/>
    <m/>
    <m/>
    <n v="82000"/>
    <m/>
    <m/>
    <m/>
    <x v="3"/>
  </r>
  <r>
    <s v="76982-15"/>
    <x v="2"/>
    <s v="50 Raymond Avenue"/>
    <x v="2"/>
    <m/>
    <m/>
    <m/>
    <m/>
    <m/>
    <m/>
    <n v="293000"/>
    <x v="4"/>
  </r>
  <r>
    <s v="73445-15"/>
    <x v="3"/>
    <s v="2055 Sunnydale Avenue"/>
    <x v="3"/>
    <n v="5109.3900000000003"/>
    <m/>
    <m/>
    <m/>
    <m/>
    <m/>
    <m/>
    <x v="5"/>
  </r>
  <r>
    <s v="73603-15"/>
    <x v="3"/>
    <s v="2055 Sunnydale Avenue"/>
    <x v="3"/>
    <m/>
    <m/>
    <m/>
    <n v="50000"/>
    <m/>
    <m/>
    <m/>
    <x v="6"/>
  </r>
  <r>
    <s v="74632-15"/>
    <x v="3"/>
    <s v="2055 Sunnydale Avenue"/>
    <x v="3"/>
    <n v="20500"/>
    <m/>
    <m/>
    <m/>
    <m/>
    <m/>
    <m/>
    <x v="7"/>
  </r>
  <r>
    <s v="73446-15"/>
    <x v="4"/>
    <s v="1601 Lane Street"/>
    <x v="4"/>
    <n v="216662"/>
    <m/>
    <m/>
    <m/>
    <m/>
    <m/>
    <m/>
    <x v="8"/>
  </r>
  <r>
    <s v="73447-15"/>
    <x v="5"/>
    <s v="2 plaza street"/>
    <x v="3"/>
    <m/>
    <m/>
    <m/>
    <n v="50000"/>
    <m/>
    <m/>
    <m/>
    <x v="6"/>
  </r>
  <r>
    <s v="73448-15"/>
    <x v="6"/>
    <s v="55 Columbus Avenue"/>
    <x v="1"/>
    <m/>
    <m/>
    <m/>
    <n v="52000"/>
    <m/>
    <m/>
    <m/>
    <x v="9"/>
  </r>
  <r>
    <s v="73595-15"/>
    <x v="6"/>
    <s v="55 Columbus Ave"/>
    <x v="1"/>
    <n v="124196"/>
    <m/>
    <m/>
    <m/>
    <m/>
    <m/>
    <m/>
    <x v="10"/>
  </r>
  <r>
    <s v="78332-15"/>
    <x v="7"/>
    <s v="1245 Howard St."/>
    <x v="5"/>
    <m/>
    <m/>
    <m/>
    <n v="41210.410000000003"/>
    <m/>
    <m/>
    <m/>
    <x v="11"/>
  </r>
  <r>
    <s v="73666-15"/>
    <x v="7"/>
    <s v="1245 Howard Street"/>
    <x v="5"/>
    <m/>
    <m/>
    <m/>
    <n v="50828"/>
    <m/>
    <m/>
    <m/>
    <x v="12"/>
  </r>
  <r>
    <s v="78485-15"/>
    <x v="7"/>
    <s v="1245 Howard Street"/>
    <x v="2"/>
    <m/>
    <m/>
    <m/>
    <n v="3580.87"/>
    <m/>
    <m/>
    <m/>
    <x v="13"/>
  </r>
  <r>
    <s v="82715-15"/>
    <x v="7"/>
    <s v="245 West Point Road Hunters Point Community Youth Park"/>
    <x v="6"/>
    <m/>
    <m/>
    <n v="15000"/>
    <m/>
    <m/>
    <m/>
    <m/>
    <x v="14"/>
  </r>
  <r>
    <s v="73449-15"/>
    <x v="7"/>
    <s v="1245 Howard Street"/>
    <x v="2"/>
    <m/>
    <m/>
    <m/>
    <n v="45000"/>
    <m/>
    <m/>
    <m/>
    <x v="15"/>
  </r>
  <r>
    <s v="78160-15"/>
    <x v="7"/>
    <s v="1245 Howard Street"/>
    <x v="2"/>
    <m/>
    <m/>
    <m/>
    <n v="29705.1"/>
    <m/>
    <m/>
    <m/>
    <x v="16"/>
  </r>
  <r>
    <s v="78157-15"/>
    <x v="7"/>
    <s v="1245 Howard Street"/>
    <x v="2"/>
    <m/>
    <m/>
    <m/>
    <n v="13369.25"/>
    <m/>
    <m/>
    <m/>
    <x v="17"/>
  </r>
  <r>
    <s v="78687-15"/>
    <x v="8"/>
    <s v="50 Raymond Ave."/>
    <x v="3"/>
    <n v="99986.4"/>
    <m/>
    <m/>
    <m/>
    <m/>
    <m/>
    <m/>
    <x v="18"/>
  </r>
  <r>
    <s v="73450-15"/>
    <x v="9"/>
    <s v="3543 18th Street #19"/>
    <x v="7"/>
    <m/>
    <m/>
    <m/>
    <m/>
    <n v="102000"/>
    <m/>
    <m/>
    <x v="19"/>
  </r>
  <r>
    <s v="73451-15"/>
    <x v="10"/>
    <s v="1167 Mission Street, 4th Floor"/>
    <x v="8"/>
    <m/>
    <m/>
    <m/>
    <n v="50000"/>
    <m/>
    <m/>
    <m/>
    <x v="6"/>
  </r>
  <r>
    <s v="73454-15"/>
    <x v="11"/>
    <s v="1735 Telegraph Ave."/>
    <x v="0"/>
    <n v="124958.02"/>
    <m/>
    <m/>
    <m/>
    <m/>
    <m/>
    <m/>
    <x v="20"/>
  </r>
  <r>
    <s v="73589-15"/>
    <x v="11"/>
    <s v="1035 Market St., 6th Floor"/>
    <x v="1"/>
    <n v="38855.75"/>
    <m/>
    <m/>
    <m/>
    <m/>
    <m/>
    <m/>
    <x v="21"/>
  </r>
  <r>
    <s v="73600-15"/>
    <x v="11"/>
    <s v="1035 Market St., 6th Floor"/>
    <x v="1"/>
    <m/>
    <m/>
    <m/>
    <n v="100000"/>
    <m/>
    <m/>
    <m/>
    <x v="22"/>
  </r>
  <r>
    <s v="73621-15"/>
    <x v="11"/>
    <s v="1035 Market St., 6th Floor"/>
    <x v="0"/>
    <n v="54764"/>
    <m/>
    <m/>
    <m/>
    <m/>
    <m/>
    <m/>
    <x v="23"/>
  </r>
  <r>
    <s v="73622-15"/>
    <x v="11"/>
    <s v="1035 Market Street, 6th Floor"/>
    <x v="0"/>
    <n v="53651.41"/>
    <m/>
    <n v="73827.429999999993"/>
    <m/>
    <m/>
    <m/>
    <m/>
    <x v="24"/>
  </r>
  <r>
    <s v="74642-15"/>
    <x v="11"/>
    <s v="1035 Market St., 6th Floor"/>
    <x v="1"/>
    <n v="51250"/>
    <m/>
    <m/>
    <m/>
    <m/>
    <m/>
    <m/>
    <x v="2"/>
  </r>
  <r>
    <s v="74678-15"/>
    <x v="11"/>
    <s v="1035 Market St., 6th Floor"/>
    <x v="0"/>
    <m/>
    <m/>
    <n v="100000"/>
    <m/>
    <m/>
    <m/>
    <m/>
    <x v="22"/>
  </r>
  <r>
    <s v="74692-15"/>
    <x v="11"/>
    <s v="1035 Market St., 6th Floor"/>
    <x v="0"/>
    <n v="358750"/>
    <m/>
    <m/>
    <m/>
    <m/>
    <m/>
    <m/>
    <x v="25"/>
  </r>
  <r>
    <s v="76983-15"/>
    <x v="12"/>
    <s v="1751 Carroll Avenue"/>
    <x v="2"/>
    <m/>
    <m/>
    <m/>
    <m/>
    <m/>
    <m/>
    <n v="200000"/>
    <x v="26"/>
  </r>
  <r>
    <s v="77844-15"/>
    <x v="13"/>
    <s v="515 Cortland Ave."/>
    <x v="2"/>
    <m/>
    <n v="290178"/>
    <m/>
    <m/>
    <m/>
    <m/>
    <m/>
    <x v="27"/>
  </r>
  <r>
    <s v="74677-15"/>
    <x v="14"/>
    <s v="515 Cortland Avenue"/>
    <x v="6"/>
    <n v="90000"/>
    <m/>
    <m/>
    <m/>
    <m/>
    <m/>
    <m/>
    <x v="28"/>
  </r>
  <r>
    <s v="73590-15"/>
    <x v="14"/>
    <s v="515 Cortland Avenue"/>
    <x v="6"/>
    <n v="43054.68"/>
    <m/>
    <m/>
    <m/>
    <m/>
    <m/>
    <m/>
    <x v="29"/>
  </r>
  <r>
    <s v="73639-15"/>
    <x v="14"/>
    <s v="515 Cortland Avenue"/>
    <x v="5"/>
    <m/>
    <m/>
    <m/>
    <n v="35000"/>
    <m/>
    <m/>
    <m/>
    <x v="30"/>
  </r>
  <r>
    <s v="73640-15"/>
    <x v="14"/>
    <s v="515 Cortland Avenue"/>
    <x v="5"/>
    <m/>
    <m/>
    <m/>
    <n v="27750"/>
    <m/>
    <m/>
    <m/>
    <x v="31"/>
  </r>
  <r>
    <s v="73456-15"/>
    <x v="14"/>
    <s v="515 Cortland Avenue"/>
    <x v="6"/>
    <n v="128125"/>
    <m/>
    <m/>
    <m/>
    <m/>
    <m/>
    <m/>
    <x v="32"/>
  </r>
  <r>
    <s v="73624-15"/>
    <x v="14"/>
    <s v="515 Cortland Avenue"/>
    <x v="5"/>
    <m/>
    <m/>
    <m/>
    <n v="35000"/>
    <m/>
    <m/>
    <m/>
    <x v="30"/>
  </r>
  <r>
    <s v="75710-15"/>
    <x v="15"/>
    <s v="330 Ellis St."/>
    <x v="2"/>
    <m/>
    <m/>
    <m/>
    <m/>
    <m/>
    <m/>
    <n v="190817"/>
    <x v="33"/>
  </r>
  <r>
    <s v="73457-15"/>
    <x v="16"/>
    <s v="800 Presidio Ave."/>
    <x v="9"/>
    <m/>
    <m/>
    <m/>
    <n v="40000"/>
    <m/>
    <m/>
    <m/>
    <x v="34"/>
  </r>
  <r>
    <s v="77856-15"/>
    <x v="17"/>
    <s v="450 Guerrero Street"/>
    <x v="2"/>
    <m/>
    <m/>
    <m/>
    <m/>
    <m/>
    <m/>
    <n v="220918"/>
    <x v="35"/>
  </r>
  <r>
    <s v="77857-15"/>
    <x v="17"/>
    <s v="163 London"/>
    <x v="2"/>
    <m/>
    <m/>
    <m/>
    <m/>
    <m/>
    <m/>
    <n v="120000"/>
    <x v="36"/>
  </r>
  <r>
    <s v="73458-15"/>
    <x v="17"/>
    <s v="195 Kiska Road"/>
    <x v="2"/>
    <m/>
    <m/>
    <m/>
    <n v="42500"/>
    <m/>
    <m/>
    <m/>
    <x v="37"/>
  </r>
  <r>
    <s v="78226-15"/>
    <x v="18"/>
    <s v="2781 24th Street"/>
    <x v="2"/>
    <m/>
    <m/>
    <m/>
    <n v="100000"/>
    <m/>
    <m/>
    <m/>
    <x v="22"/>
  </r>
  <r>
    <s v="73460-15"/>
    <x v="19"/>
    <s v="600 California Street, Suite 900"/>
    <x v="4"/>
    <n v="155000"/>
    <m/>
    <m/>
    <m/>
    <m/>
    <m/>
    <m/>
    <x v="38"/>
  </r>
  <r>
    <s v="78422-15"/>
    <x v="19"/>
    <s v="600 California Street, Suite 900"/>
    <x v="4"/>
    <n v="75000"/>
    <m/>
    <m/>
    <m/>
    <m/>
    <m/>
    <m/>
    <x v="39"/>
  </r>
  <r>
    <s v="73461-15"/>
    <x v="20"/>
    <s v="990 Eddy St"/>
    <x v="0"/>
    <m/>
    <m/>
    <m/>
    <m/>
    <n v="190000"/>
    <m/>
    <m/>
    <x v="40"/>
  </r>
  <r>
    <s v="73462-15"/>
    <x v="20"/>
    <s v="990 Eddy St."/>
    <x v="10"/>
    <m/>
    <n v="1683973"/>
    <m/>
    <m/>
    <m/>
    <m/>
    <m/>
    <x v="41"/>
  </r>
  <r>
    <s v="73463-15"/>
    <x v="20"/>
    <s v="1340 Golden Gate Avenue"/>
    <x v="10"/>
    <m/>
    <n v="758187"/>
    <m/>
    <m/>
    <m/>
    <m/>
    <m/>
    <x v="42"/>
  </r>
  <r>
    <s v="74643-15"/>
    <x v="20"/>
    <s v="990 Eddy St."/>
    <x v="10"/>
    <m/>
    <n v="686093.39"/>
    <m/>
    <m/>
    <m/>
    <m/>
    <m/>
    <x v="43"/>
  </r>
  <r>
    <s v="74679-15"/>
    <x v="20"/>
    <s v="990 Eddy Street"/>
    <x v="10"/>
    <m/>
    <n v="69133.22"/>
    <m/>
    <m/>
    <m/>
    <m/>
    <m/>
    <x v="44"/>
  </r>
  <r>
    <s v="82788-15"/>
    <x v="20"/>
    <s v="990 Eddy Street"/>
    <x v="10"/>
    <m/>
    <n v="150000"/>
    <m/>
    <m/>
    <m/>
    <m/>
    <m/>
    <x v="0"/>
  </r>
  <r>
    <s v="75094-15"/>
    <x v="20"/>
    <s v="1340 Golden Gate Avenue"/>
    <x v="2"/>
    <m/>
    <n v="433188"/>
    <m/>
    <m/>
    <m/>
    <m/>
    <m/>
    <x v="45"/>
  </r>
  <r>
    <s v="73464-15"/>
    <x v="21"/>
    <s v="PO Box 3596"/>
    <x v="0"/>
    <n v="97897"/>
    <m/>
    <n v="50000"/>
    <m/>
    <m/>
    <m/>
    <m/>
    <x v="46"/>
  </r>
  <r>
    <s v="78716-15"/>
    <x v="21"/>
    <s v="2301 Mission Street"/>
    <x v="0"/>
    <n v="250000"/>
    <m/>
    <m/>
    <m/>
    <m/>
    <m/>
    <m/>
    <x v="47"/>
  </r>
  <r>
    <s v="73465-15"/>
    <x v="22"/>
    <s v="3101 Mission Street Suite 101"/>
    <x v="1"/>
    <n v="1320457.6399999999"/>
    <m/>
    <m/>
    <m/>
    <m/>
    <m/>
    <m/>
    <x v="48"/>
  </r>
  <r>
    <s v="73659-15"/>
    <x v="22"/>
    <s v="3101 Mission Street Suite 101"/>
    <x v="1"/>
    <m/>
    <m/>
    <m/>
    <n v="80000"/>
    <m/>
    <m/>
    <m/>
    <x v="49"/>
  </r>
  <r>
    <s v="78678-15"/>
    <x v="22"/>
    <s v="3143 Mission Street"/>
    <x v="3"/>
    <n v="75000"/>
    <m/>
    <m/>
    <m/>
    <m/>
    <m/>
    <m/>
    <x v="39"/>
  </r>
  <r>
    <s v="73633-15"/>
    <x v="23"/>
    <s v="290 Turk Street"/>
    <x v="7"/>
    <m/>
    <m/>
    <m/>
    <n v="65000"/>
    <m/>
    <m/>
    <m/>
    <x v="50"/>
  </r>
  <r>
    <s v="73572-15"/>
    <x v="24"/>
    <s v="901 Market Street, Suite 490"/>
    <x v="11"/>
    <m/>
    <m/>
    <m/>
    <m/>
    <m/>
    <n v="20000"/>
    <m/>
    <x v="51"/>
  </r>
  <r>
    <s v="76984-15"/>
    <x v="25"/>
    <s v="743 Commercial Street"/>
    <x v="2"/>
    <m/>
    <m/>
    <m/>
    <n v="52723.7"/>
    <m/>
    <m/>
    <m/>
    <x v="52"/>
  </r>
  <r>
    <s v="73467-15"/>
    <x v="26"/>
    <s v="655 Clay Street"/>
    <x v="3"/>
    <n v="12628.64"/>
    <m/>
    <m/>
    <m/>
    <m/>
    <m/>
    <m/>
    <x v="53"/>
  </r>
  <r>
    <s v="73655-15"/>
    <x v="26"/>
    <s v="663 Clay Street"/>
    <x v="0"/>
    <m/>
    <m/>
    <m/>
    <n v="50000"/>
    <m/>
    <m/>
    <m/>
    <x v="6"/>
  </r>
  <r>
    <s v="73726-15"/>
    <x v="26"/>
    <s v="1525 Grant Avenue"/>
    <x v="3"/>
    <n v="83583.259999999995"/>
    <m/>
    <m/>
    <m/>
    <m/>
    <m/>
    <m/>
    <x v="54"/>
  </r>
  <r>
    <s v="74633-15"/>
    <x v="26"/>
    <s v="655 Clay Street"/>
    <x v="3"/>
    <n v="51250"/>
    <m/>
    <m/>
    <m/>
    <m/>
    <m/>
    <m/>
    <x v="2"/>
  </r>
  <r>
    <s v="77868-15"/>
    <x v="26"/>
    <s v="1525 Grant Avenue"/>
    <x v="9"/>
    <n v="99530"/>
    <m/>
    <m/>
    <m/>
    <m/>
    <m/>
    <m/>
    <x v="55"/>
  </r>
  <r>
    <s v="82718-15"/>
    <x v="26"/>
    <s v="1525 Grant Ave."/>
    <x v="5"/>
    <m/>
    <m/>
    <m/>
    <n v="45286.5"/>
    <m/>
    <m/>
    <m/>
    <x v="56"/>
  </r>
  <r>
    <s v="78414-15"/>
    <x v="26"/>
    <s v="1525 Grant Avenue"/>
    <x v="5"/>
    <m/>
    <m/>
    <m/>
    <n v="52646.99"/>
    <m/>
    <m/>
    <m/>
    <x v="57"/>
  </r>
  <r>
    <s v="78415-15"/>
    <x v="26"/>
    <s v="1525 Grant Avenue"/>
    <x v="5"/>
    <m/>
    <m/>
    <m/>
    <n v="70200.28"/>
    <m/>
    <m/>
    <m/>
    <x v="58"/>
  </r>
  <r>
    <s v="73686-15"/>
    <x v="26"/>
    <s v="1590 Broadway"/>
    <x v="5"/>
    <m/>
    <m/>
    <m/>
    <n v="19005"/>
    <m/>
    <m/>
    <m/>
    <x v="59"/>
  </r>
  <r>
    <s v="73648-15"/>
    <x v="27"/>
    <s v="17 Walter U Lum Place"/>
    <x v="3"/>
    <n v="469500"/>
    <m/>
    <m/>
    <m/>
    <m/>
    <m/>
    <m/>
    <x v="60"/>
  </r>
  <r>
    <s v="78698-15"/>
    <x v="27"/>
    <s v="17 Walter U. Lum Place"/>
    <x v="6"/>
    <n v="93500"/>
    <m/>
    <m/>
    <m/>
    <m/>
    <m/>
    <m/>
    <x v="61"/>
  </r>
  <r>
    <s v="78688-15"/>
    <x v="28"/>
    <s v="777 Stockton Street, #104"/>
    <x v="3"/>
    <n v="38634"/>
    <m/>
    <m/>
    <m/>
    <m/>
    <m/>
    <m/>
    <x v="62"/>
  </r>
  <r>
    <s v="82847-15"/>
    <x v="29"/>
    <s v="1042 Grant Ave. 5th Flr."/>
    <x v="3"/>
    <n v="100000"/>
    <m/>
    <m/>
    <m/>
    <m/>
    <m/>
    <m/>
    <x v="22"/>
  </r>
  <r>
    <s v="78697-15"/>
    <x v="29"/>
    <s v="1042 Grant Ave 5th Floor"/>
    <x v="6"/>
    <n v="45000"/>
    <m/>
    <m/>
    <m/>
    <m/>
    <m/>
    <m/>
    <x v="15"/>
  </r>
  <r>
    <s v="74634-15"/>
    <x v="29"/>
    <s v="1042 Grant Ave 5th Floor"/>
    <x v="6"/>
    <n v="15125"/>
    <m/>
    <m/>
    <m/>
    <m/>
    <m/>
    <m/>
    <x v="63"/>
  </r>
  <r>
    <s v="73565-15"/>
    <x v="29"/>
    <s v="1042 Grant Ave 5th Floor"/>
    <x v="6"/>
    <n v="602.71"/>
    <m/>
    <m/>
    <m/>
    <m/>
    <m/>
    <m/>
    <x v="64"/>
  </r>
  <r>
    <s v="77963-15"/>
    <x v="30"/>
    <s v="1050 Mcallister st"/>
    <x v="2"/>
    <m/>
    <m/>
    <m/>
    <m/>
    <m/>
    <m/>
    <n v="174790"/>
    <x v="65"/>
  </r>
  <r>
    <s v="73470-15"/>
    <x v="31"/>
    <s v="1049 Howard St."/>
    <x v="7"/>
    <m/>
    <m/>
    <m/>
    <m/>
    <n v="50000"/>
    <m/>
    <m/>
    <x v="6"/>
  </r>
  <r>
    <s v="78381-15"/>
    <x v="31"/>
    <s v="637 South Van Ness Ave."/>
    <x v="2"/>
    <m/>
    <m/>
    <m/>
    <n v="41680"/>
    <m/>
    <m/>
    <m/>
    <x v="66"/>
  </r>
  <r>
    <s v="78045-15"/>
    <x v="32"/>
    <s v="5 Thomas Mellon Circle, Unit 128"/>
    <x v="2"/>
    <m/>
    <m/>
    <m/>
    <n v="8809.74"/>
    <m/>
    <m/>
    <m/>
    <x v="67"/>
  </r>
  <r>
    <s v="76985-15"/>
    <x v="32"/>
    <s v="5 Thomas Mellon Circle, Unit 128"/>
    <x v="2"/>
    <m/>
    <m/>
    <m/>
    <n v="40000"/>
    <m/>
    <m/>
    <m/>
    <x v="34"/>
  </r>
  <r>
    <s v="82719-15"/>
    <x v="33"/>
    <s v="20 Jones St. Ste. 200"/>
    <x v="5"/>
    <m/>
    <m/>
    <m/>
    <n v="50603"/>
    <m/>
    <m/>
    <m/>
    <x v="68"/>
  </r>
  <r>
    <s v="73626-15"/>
    <x v="34"/>
    <s v="1038 Post Street"/>
    <x v="9"/>
    <m/>
    <m/>
    <m/>
    <n v="50000"/>
    <m/>
    <m/>
    <m/>
    <x v="6"/>
  </r>
  <r>
    <s v="73627-15"/>
    <x v="34"/>
    <s v="4438 Third Street"/>
    <x v="3"/>
    <m/>
    <m/>
    <m/>
    <n v="50000"/>
    <m/>
    <m/>
    <m/>
    <x v="6"/>
  </r>
  <r>
    <s v="73690-15"/>
    <x v="34"/>
    <s v="4438 Third Street"/>
    <x v="9"/>
    <n v="148519.01999999999"/>
    <m/>
    <m/>
    <m/>
    <m/>
    <m/>
    <m/>
    <x v="69"/>
  </r>
  <r>
    <s v="77865-15"/>
    <x v="34"/>
    <s v="4438 Third Street"/>
    <x v="9"/>
    <n v="150000"/>
    <m/>
    <m/>
    <m/>
    <m/>
    <m/>
    <m/>
    <x v="0"/>
  </r>
  <r>
    <s v="73473-15"/>
    <x v="34"/>
    <s v="1038 Post Street"/>
    <x v="12"/>
    <n v="52524"/>
    <m/>
    <m/>
    <m/>
    <m/>
    <m/>
    <m/>
    <x v="70"/>
  </r>
  <r>
    <s v="73604-15"/>
    <x v="35"/>
    <s v="995 Market Street, 5th Floor"/>
    <x v="0"/>
    <m/>
    <m/>
    <m/>
    <n v="40000"/>
    <m/>
    <m/>
    <m/>
    <x v="34"/>
  </r>
  <r>
    <s v="73605-15"/>
    <x v="35"/>
    <s v="626 Polk Street"/>
    <x v="7"/>
    <m/>
    <m/>
    <m/>
    <m/>
    <n v="87000"/>
    <m/>
    <m/>
    <x v="71"/>
  </r>
  <r>
    <s v="83166-15"/>
    <x v="35"/>
    <s v="111 Page Street"/>
    <x v="2"/>
    <m/>
    <m/>
    <m/>
    <n v="375000"/>
    <m/>
    <m/>
    <m/>
    <x v="72"/>
  </r>
  <r>
    <s v="73475-15"/>
    <x v="36"/>
    <s v="500 12th Street, Suite 320"/>
    <x v="12"/>
    <n v="100000"/>
    <m/>
    <m/>
    <m/>
    <m/>
    <m/>
    <m/>
    <x v="22"/>
  </r>
  <r>
    <s v="75550-15"/>
    <x v="36"/>
    <s v="500 12th Street, Suite 320"/>
    <x v="12"/>
    <m/>
    <m/>
    <m/>
    <n v="14386.75"/>
    <m/>
    <m/>
    <m/>
    <x v="73"/>
  </r>
  <r>
    <s v="73476-15"/>
    <x v="37"/>
    <s v="595 Market St. 15th Floor"/>
    <x v="8"/>
    <m/>
    <m/>
    <m/>
    <n v="50000"/>
    <m/>
    <m/>
    <m/>
    <x v="6"/>
  </r>
  <r>
    <s v="73654-15"/>
    <x v="37"/>
    <s v="595 Market St. 15th Floor"/>
    <x v="13"/>
    <n v="475316"/>
    <m/>
    <m/>
    <n v="200000"/>
    <m/>
    <m/>
    <n v="232471.21"/>
    <x v="74"/>
  </r>
  <r>
    <s v="74698-15"/>
    <x v="37"/>
    <s v="595 Market Street - 15th Floor"/>
    <x v="14"/>
    <m/>
    <m/>
    <m/>
    <m/>
    <m/>
    <n v="80000"/>
    <m/>
    <x v="49"/>
  </r>
  <r>
    <s v="81964-15"/>
    <x v="37"/>
    <s v="595 Market Street, 15th Floor"/>
    <x v="13"/>
    <m/>
    <m/>
    <m/>
    <m/>
    <m/>
    <m/>
    <n v="0"/>
    <x v="75"/>
  </r>
  <r>
    <s v="73477-15"/>
    <x v="38"/>
    <s v="369 Pine Street, Suite 350"/>
    <x v="5"/>
    <m/>
    <m/>
    <n v="360000"/>
    <m/>
    <m/>
    <m/>
    <m/>
    <x v="76"/>
  </r>
  <r>
    <s v="75068-15"/>
    <x v="38"/>
    <s v="369 Pine St., Suite 350"/>
    <x v="12"/>
    <m/>
    <m/>
    <m/>
    <m/>
    <m/>
    <m/>
    <n v="21936.45"/>
    <x v="77"/>
  </r>
  <r>
    <s v="76986-15"/>
    <x v="39"/>
    <s v="P. O. Box 15366"/>
    <x v="2"/>
    <m/>
    <m/>
    <m/>
    <n v="27467"/>
    <m/>
    <m/>
    <m/>
    <x v="78"/>
  </r>
  <r>
    <s v="73478-15"/>
    <x v="40"/>
    <s v="938 Valencia St"/>
    <x v="1"/>
    <n v="1209800"/>
    <m/>
    <m/>
    <m/>
    <m/>
    <m/>
    <m/>
    <x v="79"/>
  </r>
  <r>
    <s v="73613-15"/>
    <x v="40"/>
    <s v="220 Dolores Street"/>
    <x v="10"/>
    <m/>
    <n v="479350"/>
    <m/>
    <m/>
    <m/>
    <m/>
    <m/>
    <x v="80"/>
  </r>
  <r>
    <s v="73674-15"/>
    <x v="40"/>
    <s v="938 Valencia St"/>
    <x v="1"/>
    <n v="224475"/>
    <m/>
    <m/>
    <m/>
    <m/>
    <m/>
    <m/>
    <x v="81"/>
  </r>
  <r>
    <s v="73679-15"/>
    <x v="40"/>
    <s v="938 Valencia Street"/>
    <x v="1"/>
    <m/>
    <m/>
    <m/>
    <n v="50000"/>
    <m/>
    <m/>
    <m/>
    <x v="6"/>
  </r>
  <r>
    <s v="73683-15"/>
    <x v="40"/>
    <s v="938 Valencia Street"/>
    <x v="7"/>
    <m/>
    <m/>
    <m/>
    <m/>
    <n v="52176"/>
    <m/>
    <m/>
    <x v="82"/>
  </r>
  <r>
    <s v="82674-15"/>
    <x v="40"/>
    <s v="938 Valencia"/>
    <x v="12"/>
    <n v="75000"/>
    <m/>
    <m/>
    <m/>
    <m/>
    <m/>
    <m/>
    <x v="39"/>
  </r>
  <r>
    <s v="77858-15"/>
    <x v="40"/>
    <s v="938 Valencia Street"/>
    <x v="2"/>
    <m/>
    <m/>
    <m/>
    <n v="58976.82"/>
    <m/>
    <m/>
    <m/>
    <x v="83"/>
  </r>
  <r>
    <s v="73479-15"/>
    <x v="41"/>
    <s v="920 Sacramento Street"/>
    <x v="9"/>
    <n v="6708.25"/>
    <m/>
    <m/>
    <m/>
    <m/>
    <m/>
    <m/>
    <x v="84"/>
  </r>
  <r>
    <s v="73623-15"/>
    <x v="41"/>
    <s v="920 Sacramento Street"/>
    <x v="9"/>
    <m/>
    <m/>
    <m/>
    <n v="50000"/>
    <m/>
    <m/>
    <m/>
    <x v="6"/>
  </r>
  <r>
    <s v="73749-15"/>
    <x v="41"/>
    <s v="920 Sacramento Street"/>
    <x v="3"/>
    <n v="51250"/>
    <m/>
    <m/>
    <m/>
    <m/>
    <m/>
    <m/>
    <x v="2"/>
  </r>
  <r>
    <s v="73662-15"/>
    <x v="41"/>
    <s v="920 Sacramento St."/>
    <x v="2"/>
    <m/>
    <m/>
    <m/>
    <n v="168362"/>
    <m/>
    <m/>
    <m/>
    <x v="85"/>
  </r>
  <r>
    <s v="76055-15"/>
    <x v="41"/>
    <s v="920 Sacramento St."/>
    <x v="2"/>
    <m/>
    <m/>
    <m/>
    <n v="189433"/>
    <m/>
    <m/>
    <m/>
    <x v="86"/>
  </r>
  <r>
    <s v="73573-15"/>
    <x v="42"/>
    <s v="235 Montgomery Street, Suite 470"/>
    <x v="15"/>
    <m/>
    <m/>
    <m/>
    <m/>
    <m/>
    <n v="50000"/>
    <m/>
    <x v="6"/>
  </r>
  <r>
    <s v="83188-15"/>
    <x v="42"/>
    <s v="235 Montgomery Street, Suite 470"/>
    <x v="15"/>
    <m/>
    <m/>
    <m/>
    <n v="30000"/>
    <m/>
    <m/>
    <m/>
    <x v="87"/>
  </r>
  <r>
    <s v="73480-15"/>
    <x v="43"/>
    <s v="1155 Market Street"/>
    <x v="12"/>
    <n v="14000"/>
    <m/>
    <m/>
    <m/>
    <m/>
    <m/>
    <m/>
    <x v="88"/>
  </r>
  <r>
    <s v="78489-15"/>
    <x v="43"/>
    <s v="1155 Market Street, 8th Floor"/>
    <x v="12"/>
    <m/>
    <m/>
    <m/>
    <n v="14000"/>
    <m/>
    <m/>
    <m/>
    <x v="88"/>
  </r>
  <r>
    <s v="73591-15"/>
    <x v="44"/>
    <s v="201 8th Street"/>
    <x v="7"/>
    <m/>
    <m/>
    <m/>
    <m/>
    <n v="81116"/>
    <m/>
    <m/>
    <x v="89"/>
  </r>
  <r>
    <s v="73598-15"/>
    <x v="44"/>
    <s v="165 - 8th Street, 3rd Floor"/>
    <x v="9"/>
    <m/>
    <m/>
    <m/>
    <n v="70000"/>
    <m/>
    <m/>
    <m/>
    <x v="90"/>
  </r>
  <r>
    <s v="73483-15"/>
    <x v="45"/>
    <s v="995 Market Street, #995"/>
    <x v="0"/>
    <n v="121643.4"/>
    <m/>
    <m/>
    <m/>
    <m/>
    <m/>
    <m/>
    <x v="91"/>
  </r>
  <r>
    <s v="73594-15"/>
    <x v="45"/>
    <s v="995 Market Street, #1200"/>
    <x v="0"/>
    <n v="82720"/>
    <m/>
    <n v="559298"/>
    <m/>
    <m/>
    <m/>
    <m/>
    <x v="92"/>
  </r>
  <r>
    <s v="73719-15"/>
    <x v="45"/>
    <s v="995 Market Street, #1200"/>
    <x v="0"/>
    <m/>
    <m/>
    <n v="207245.01"/>
    <m/>
    <m/>
    <m/>
    <m/>
    <x v="93"/>
  </r>
  <r>
    <s v="73720-15"/>
    <x v="45"/>
    <s v="995 Market Street, #1200"/>
    <x v="0"/>
    <n v="410000"/>
    <m/>
    <m/>
    <m/>
    <m/>
    <m/>
    <m/>
    <x v="94"/>
  </r>
  <r>
    <s v="73574-15"/>
    <x v="46"/>
    <s v="1010 Mission Street"/>
    <x v="6"/>
    <m/>
    <m/>
    <m/>
    <m/>
    <m/>
    <n v="38036.769999999997"/>
    <m/>
    <x v="95"/>
  </r>
  <r>
    <s v="75069-15"/>
    <x v="46"/>
    <s v="1010 Mission Street"/>
    <x v="6"/>
    <m/>
    <m/>
    <m/>
    <m/>
    <m/>
    <n v="50000"/>
    <m/>
    <x v="6"/>
  </r>
  <r>
    <s v="74696-15"/>
    <x v="47"/>
    <s v="1110 Howard Street"/>
    <x v="3"/>
    <n v="18763.04"/>
    <m/>
    <m/>
    <m/>
    <m/>
    <m/>
    <m/>
    <x v="96"/>
  </r>
  <r>
    <s v="75070-15"/>
    <x v="47"/>
    <s v="1110 Howard Street"/>
    <x v="11"/>
    <m/>
    <m/>
    <m/>
    <m/>
    <m/>
    <n v="75000"/>
    <m/>
    <x v="39"/>
  </r>
  <r>
    <s v="77866-15"/>
    <x v="47"/>
    <s v="1110 Howard Street"/>
    <x v="3"/>
    <n v="91000"/>
    <m/>
    <m/>
    <m/>
    <m/>
    <m/>
    <m/>
    <x v="97"/>
  </r>
  <r>
    <s v="78033-15"/>
    <x v="47"/>
    <s v="1110 Howard Street"/>
    <x v="12"/>
    <n v="61900.13"/>
    <m/>
    <m/>
    <m/>
    <m/>
    <m/>
    <m/>
    <x v="98"/>
  </r>
  <r>
    <s v="73484-15"/>
    <x v="47"/>
    <s v="1110 Howard Street"/>
    <x v="12"/>
    <n v="20700"/>
    <m/>
    <m/>
    <m/>
    <m/>
    <m/>
    <m/>
    <x v="99"/>
  </r>
  <r>
    <s v="73485-15"/>
    <x v="48"/>
    <s v="Balboa High School- 1000 Cayuga Ave"/>
    <x v="3"/>
    <n v="92250"/>
    <m/>
    <m/>
    <m/>
    <m/>
    <m/>
    <m/>
    <x v="100"/>
  </r>
  <r>
    <s v="73486-15"/>
    <x v="49"/>
    <s v="4681 Mission Street"/>
    <x v="3"/>
    <m/>
    <m/>
    <m/>
    <n v="70000"/>
    <m/>
    <m/>
    <m/>
    <x v="90"/>
  </r>
  <r>
    <s v="73652-15"/>
    <x v="49"/>
    <s v="4681 Mission Street"/>
    <x v="3"/>
    <n v="92942"/>
    <m/>
    <m/>
    <m/>
    <m/>
    <m/>
    <m/>
    <x v="101"/>
  </r>
  <r>
    <s v="73487-15"/>
    <x v="50"/>
    <s v="56 Julian Ave"/>
    <x v="7"/>
    <m/>
    <m/>
    <m/>
    <m/>
    <n v="55000"/>
    <m/>
    <m/>
    <x v="102"/>
  </r>
  <r>
    <s v="73677-15"/>
    <x v="50"/>
    <s v="56 Julian Ave"/>
    <x v="2"/>
    <m/>
    <m/>
    <m/>
    <n v="70000"/>
    <m/>
    <m/>
    <m/>
    <x v="90"/>
  </r>
  <r>
    <s v="73488-15"/>
    <x v="51"/>
    <s v="1294 Potrero Avenue"/>
    <x v="9"/>
    <n v="52275"/>
    <m/>
    <m/>
    <m/>
    <m/>
    <m/>
    <m/>
    <x v="103"/>
  </r>
  <r>
    <s v="76601-15"/>
    <x v="52"/>
    <s v="1171 Ocean Avenue, Suite 200"/>
    <x v="5"/>
    <m/>
    <m/>
    <n v="175000"/>
    <m/>
    <m/>
    <m/>
    <m/>
    <x v="104"/>
  </r>
  <r>
    <s v="73490-15"/>
    <x v="53"/>
    <s v="2327 Clement Street"/>
    <x v="9"/>
    <n v="15847.47"/>
    <m/>
    <m/>
    <m/>
    <m/>
    <m/>
    <m/>
    <x v="105"/>
  </r>
  <r>
    <s v="73607-15"/>
    <x v="53"/>
    <s v="65 Beverly Street"/>
    <x v="9"/>
    <n v="26747"/>
    <m/>
    <m/>
    <m/>
    <m/>
    <m/>
    <m/>
    <x v="106"/>
  </r>
  <r>
    <s v="73656-15"/>
    <x v="53"/>
    <s v="940 Washington Street"/>
    <x v="16"/>
    <m/>
    <m/>
    <m/>
    <m/>
    <n v="55000"/>
    <m/>
    <m/>
    <x v="102"/>
  </r>
  <r>
    <s v="73750-15"/>
    <x v="53"/>
    <s v="2327 Clement St"/>
    <x v="9"/>
    <n v="51250"/>
    <m/>
    <m/>
    <m/>
    <m/>
    <m/>
    <m/>
    <x v="2"/>
  </r>
  <r>
    <s v="73491-15"/>
    <x v="54"/>
    <s v="260 GOLDEN GATE AVE"/>
    <x v="7"/>
    <m/>
    <m/>
    <m/>
    <m/>
    <n v="50000"/>
    <m/>
    <m/>
    <x v="6"/>
  </r>
  <r>
    <s v="73641-15"/>
    <x v="54"/>
    <s v="255 Hyde Street"/>
    <x v="0"/>
    <m/>
    <m/>
    <m/>
    <n v="40000"/>
    <n v="43333"/>
    <m/>
    <m/>
    <x v="107"/>
  </r>
  <r>
    <s v="73663-15"/>
    <x v="54"/>
    <s v="255 Hyde St"/>
    <x v="0"/>
    <m/>
    <m/>
    <m/>
    <m/>
    <n v="87274"/>
    <m/>
    <m/>
    <x v="108"/>
  </r>
  <r>
    <s v="73609-15"/>
    <x v="55"/>
    <s v="1234 Divisadero St."/>
    <x v="3"/>
    <m/>
    <m/>
    <m/>
    <n v="50000"/>
    <m/>
    <m/>
    <m/>
    <x v="6"/>
  </r>
  <r>
    <s v="73628-15"/>
    <x v="56"/>
    <s v="3450 3rd Street Unit 1C"/>
    <x v="7"/>
    <m/>
    <m/>
    <m/>
    <m/>
    <n v="50000"/>
    <m/>
    <m/>
    <x v="6"/>
  </r>
  <r>
    <s v="73494-15"/>
    <x v="56"/>
    <s v="3450 3rd Street Unit 1C"/>
    <x v="12"/>
    <n v="41398"/>
    <m/>
    <m/>
    <m/>
    <m/>
    <m/>
    <m/>
    <x v="109"/>
  </r>
  <r>
    <s v="73495-15"/>
    <x v="57"/>
    <s v="2500 18th St."/>
    <x v="14"/>
    <m/>
    <m/>
    <m/>
    <n v="65000"/>
    <m/>
    <m/>
    <m/>
    <x v="50"/>
  </r>
  <r>
    <s v="73496-15"/>
    <x v="58"/>
    <s v="275 5th St. Ste 314"/>
    <x v="8"/>
    <m/>
    <m/>
    <n v="79648.98"/>
    <m/>
    <m/>
    <m/>
    <m/>
    <x v="110"/>
  </r>
  <r>
    <s v="74626-15"/>
    <x v="58"/>
    <s v="275 5th Street #314"/>
    <x v="8"/>
    <m/>
    <m/>
    <n v="175000"/>
    <m/>
    <m/>
    <m/>
    <m/>
    <x v="104"/>
  </r>
  <r>
    <s v="78182-15"/>
    <x v="58"/>
    <s v="275 5th St. Ste 314"/>
    <x v="8"/>
    <m/>
    <m/>
    <n v="12415.88"/>
    <m/>
    <m/>
    <m/>
    <m/>
    <x v="111"/>
  </r>
  <r>
    <s v="73658-15"/>
    <x v="58"/>
    <s v="275 5th Street #314"/>
    <x v="12"/>
    <m/>
    <m/>
    <m/>
    <n v="45000"/>
    <m/>
    <m/>
    <m/>
    <x v="15"/>
  </r>
  <r>
    <s v="73497-15"/>
    <x v="59"/>
    <s v="1337 Mission Street, Second Floor"/>
    <x v="9"/>
    <m/>
    <m/>
    <m/>
    <n v="50000"/>
    <m/>
    <m/>
    <m/>
    <x v="6"/>
  </r>
  <r>
    <s v="73498-15"/>
    <x v="60"/>
    <s v="1814 Franklin Street, Suite #1040"/>
    <x v="8"/>
    <m/>
    <m/>
    <m/>
    <n v="50000"/>
    <m/>
    <m/>
    <m/>
    <x v="6"/>
  </r>
  <r>
    <s v="73499-15"/>
    <x v="61"/>
    <s v="825 Howard Street"/>
    <x v="14"/>
    <m/>
    <m/>
    <n v="20000"/>
    <n v="35000"/>
    <m/>
    <m/>
    <m/>
    <x v="102"/>
  </r>
  <r>
    <s v="73500-15"/>
    <x v="62"/>
    <s v="2947 - 16th Street"/>
    <x v="1"/>
    <m/>
    <m/>
    <m/>
    <n v="60000"/>
    <m/>
    <m/>
    <m/>
    <x v="112"/>
  </r>
  <r>
    <s v="73501-15"/>
    <x v="63"/>
    <s v="301 Battery St., Third Fl."/>
    <x v="0"/>
    <m/>
    <m/>
    <n v="80000"/>
    <n v="10000"/>
    <m/>
    <m/>
    <m/>
    <x v="28"/>
  </r>
  <r>
    <s v="78700-15"/>
    <x v="63"/>
    <s v="301 Battery St., Third Fl."/>
    <x v="1"/>
    <n v="150000"/>
    <m/>
    <m/>
    <m/>
    <m/>
    <m/>
    <m/>
    <x v="0"/>
  </r>
  <r>
    <s v="73631-15"/>
    <x v="63"/>
    <s v="125 Hyde St."/>
    <x v="2"/>
    <m/>
    <m/>
    <m/>
    <n v="60000"/>
    <m/>
    <m/>
    <m/>
    <x v="112"/>
  </r>
  <r>
    <s v="73502-15"/>
    <x v="64"/>
    <s v="1663 Mission Street, Suite 225"/>
    <x v="7"/>
    <m/>
    <m/>
    <m/>
    <m/>
    <n v="150000"/>
    <m/>
    <m/>
    <x v="0"/>
  </r>
  <r>
    <s v="73504-15"/>
    <x v="65"/>
    <s v="474 Valencia St., Suite 295"/>
    <x v="1"/>
    <m/>
    <m/>
    <m/>
    <n v="50000"/>
    <m/>
    <m/>
    <m/>
    <x v="6"/>
  </r>
  <r>
    <s v="73505-15"/>
    <x v="66"/>
    <s v="474 Valencia Street Suite 100"/>
    <x v="1"/>
    <n v="53059"/>
    <m/>
    <m/>
    <m/>
    <m/>
    <m/>
    <m/>
    <x v="113"/>
  </r>
  <r>
    <s v="73619-15"/>
    <x v="66"/>
    <s v="474 Valencia Street Suite 100"/>
    <x v="1"/>
    <m/>
    <m/>
    <m/>
    <n v="80000"/>
    <m/>
    <m/>
    <m/>
    <x v="49"/>
  </r>
  <r>
    <s v="73506-15"/>
    <x v="67"/>
    <s v="129 Hyde St"/>
    <x v="10"/>
    <m/>
    <n v="348144"/>
    <m/>
    <m/>
    <m/>
    <m/>
    <m/>
    <x v="114"/>
  </r>
  <r>
    <s v="73651-15"/>
    <x v="67"/>
    <s v="869 Ellis St"/>
    <x v="7"/>
    <m/>
    <m/>
    <m/>
    <m/>
    <n v="112000"/>
    <m/>
    <m/>
    <x v="115"/>
  </r>
  <r>
    <s v="77859-15"/>
    <x v="67"/>
    <s v="869 Ellis Street"/>
    <x v="2"/>
    <m/>
    <m/>
    <m/>
    <n v="175000"/>
    <m/>
    <m/>
    <m/>
    <x v="104"/>
  </r>
  <r>
    <s v="73507-15"/>
    <x v="68"/>
    <s v="127 Collingwood Street"/>
    <x v="3"/>
    <m/>
    <m/>
    <m/>
    <n v="50000"/>
    <m/>
    <m/>
    <m/>
    <x v="6"/>
  </r>
  <r>
    <s v="74635-15"/>
    <x v="69"/>
    <s v="131 Steuart Street, Suite 400"/>
    <x v="1"/>
    <n v="102500"/>
    <m/>
    <m/>
    <m/>
    <m/>
    <m/>
    <m/>
    <x v="116"/>
  </r>
  <r>
    <s v="73509-15"/>
    <x v="70"/>
    <s v="701 Sutter Street, 2nd Floor"/>
    <x v="0"/>
    <m/>
    <m/>
    <n v="30000"/>
    <m/>
    <m/>
    <m/>
    <m/>
    <x v="87"/>
  </r>
  <r>
    <s v="73510-15"/>
    <x v="71"/>
    <s v="1254 Market Street"/>
    <x v="1"/>
    <n v="49852"/>
    <m/>
    <m/>
    <m/>
    <m/>
    <m/>
    <m/>
    <x v="117"/>
  </r>
  <r>
    <s v="73511-15"/>
    <x v="72"/>
    <s v="401 Duboce Ave."/>
    <x v="10"/>
    <m/>
    <n v="492167"/>
    <m/>
    <m/>
    <m/>
    <m/>
    <m/>
    <x v="118"/>
  </r>
  <r>
    <s v="73632-15"/>
    <x v="72"/>
    <s v="401 Duboce Ave."/>
    <x v="2"/>
    <m/>
    <n v="243174"/>
    <m/>
    <m/>
    <m/>
    <m/>
    <m/>
    <x v="119"/>
  </r>
  <r>
    <s v="78213-15"/>
    <x v="72"/>
    <s v="401 Duboce Avenue"/>
    <x v="2"/>
    <m/>
    <n v="38815.67"/>
    <m/>
    <n v="136045.82999999999"/>
    <m/>
    <m/>
    <m/>
    <x v="120"/>
  </r>
  <r>
    <s v="78214-15"/>
    <x v="72"/>
    <s v="401 Duboce Avenue"/>
    <x v="2"/>
    <m/>
    <n v="82237"/>
    <m/>
    <m/>
    <m/>
    <m/>
    <m/>
    <x v="121"/>
  </r>
  <r>
    <s v="73512-15"/>
    <x v="73"/>
    <s v="1360 mission st."/>
    <x v="10"/>
    <m/>
    <n v="50000"/>
    <m/>
    <m/>
    <m/>
    <m/>
    <m/>
    <x v="6"/>
  </r>
  <r>
    <s v="73513-15"/>
    <x v="74"/>
    <s v="1360 Mission St, Suite 300"/>
    <x v="4"/>
    <n v="221750"/>
    <m/>
    <m/>
    <m/>
    <m/>
    <m/>
    <m/>
    <x v="122"/>
  </r>
  <r>
    <s v="73514-15"/>
    <x v="75"/>
    <s v="3269 Mission Street"/>
    <x v="15"/>
    <m/>
    <m/>
    <m/>
    <n v="65000"/>
    <m/>
    <m/>
    <m/>
    <x v="50"/>
  </r>
  <r>
    <s v="73592-15"/>
    <x v="76"/>
    <s v="2301 Mission Street Suite 301"/>
    <x v="14"/>
    <m/>
    <m/>
    <n v="50000"/>
    <m/>
    <m/>
    <m/>
    <m/>
    <x v="6"/>
  </r>
  <r>
    <s v="73611-15"/>
    <x v="76"/>
    <s v="2301 Mission Street Suite 301"/>
    <x v="15"/>
    <m/>
    <m/>
    <m/>
    <n v="50000"/>
    <m/>
    <m/>
    <m/>
    <x v="6"/>
  </r>
  <r>
    <s v="73634-15"/>
    <x v="76"/>
    <s v="2301 Mission Street Suite 301"/>
    <x v="8"/>
    <m/>
    <m/>
    <m/>
    <n v="70000"/>
    <m/>
    <m/>
    <m/>
    <x v="90"/>
  </r>
  <r>
    <s v="76059-15"/>
    <x v="76"/>
    <s v="2301 Mission St. Ste. 301"/>
    <x v="2"/>
    <m/>
    <m/>
    <m/>
    <m/>
    <m/>
    <m/>
    <n v="166115"/>
    <x v="123"/>
  </r>
  <r>
    <s v="75071-15"/>
    <x v="77"/>
    <s v="1048 Folsom Street"/>
    <x v="11"/>
    <m/>
    <m/>
    <m/>
    <m/>
    <m/>
    <n v="75000"/>
    <m/>
    <x v="39"/>
  </r>
  <r>
    <s v="73620-15"/>
    <x v="78"/>
    <s v="2929 19th Street"/>
    <x v="9"/>
    <m/>
    <m/>
    <m/>
    <n v="50000"/>
    <m/>
    <m/>
    <m/>
    <x v="6"/>
  </r>
  <r>
    <s v="78046-15"/>
    <x v="78"/>
    <s v="2929 - 19th Street"/>
    <x v="2"/>
    <m/>
    <m/>
    <m/>
    <n v="68420"/>
    <m/>
    <m/>
    <m/>
    <x v="124"/>
  </r>
  <r>
    <s v="73518-15"/>
    <x v="79"/>
    <s v="534 Precita Avenue"/>
    <x v="9"/>
    <m/>
    <m/>
    <m/>
    <n v="55000"/>
    <m/>
    <m/>
    <m/>
    <x v="102"/>
  </r>
  <r>
    <s v="76057-15"/>
    <x v="79"/>
    <s v="534 Precita Ave."/>
    <x v="2"/>
    <m/>
    <m/>
    <m/>
    <n v="239922.68"/>
    <m/>
    <m/>
    <m/>
    <x v="125"/>
  </r>
  <r>
    <s v="76056-15"/>
    <x v="79"/>
    <s v="362 Capp Street"/>
    <x v="2"/>
    <m/>
    <m/>
    <m/>
    <m/>
    <m/>
    <m/>
    <n v="350000"/>
    <x v="126"/>
  </r>
  <r>
    <s v="73519-15"/>
    <x v="80"/>
    <s v="165 Capp Street"/>
    <x v="7"/>
    <m/>
    <m/>
    <m/>
    <n v="46873"/>
    <m/>
    <m/>
    <m/>
    <x v="127"/>
  </r>
  <r>
    <s v="74636-15"/>
    <x v="81"/>
    <s v="3543 18th St., #23"/>
    <x v="1"/>
    <n v="205000"/>
    <m/>
    <m/>
    <m/>
    <m/>
    <m/>
    <m/>
    <x v="128"/>
  </r>
  <r>
    <s v="73520-15"/>
    <x v="82"/>
    <s v="2430 Mission Street"/>
    <x v="15"/>
    <m/>
    <m/>
    <m/>
    <n v="50000"/>
    <m/>
    <m/>
    <m/>
    <x v="6"/>
  </r>
  <r>
    <s v="73521-15"/>
    <x v="83"/>
    <s v="1121 Mission Street"/>
    <x v="0"/>
    <n v="76659.38"/>
    <m/>
    <m/>
    <m/>
    <m/>
    <m/>
    <m/>
    <x v="129"/>
  </r>
  <r>
    <s v="73588-15"/>
    <x v="83"/>
    <s v="1121 Mission Street"/>
    <x v="1"/>
    <n v="49182.59"/>
    <m/>
    <m/>
    <m/>
    <m/>
    <m/>
    <m/>
    <x v="130"/>
  </r>
  <r>
    <s v="73678-15"/>
    <x v="83"/>
    <s v="1121 Mission Street"/>
    <x v="0"/>
    <n v="60412"/>
    <m/>
    <m/>
    <m/>
    <m/>
    <m/>
    <m/>
    <x v="131"/>
  </r>
  <r>
    <s v="73680-15"/>
    <x v="83"/>
    <s v="1121 Mission Street"/>
    <x v="1"/>
    <m/>
    <m/>
    <m/>
    <n v="75000"/>
    <m/>
    <m/>
    <m/>
    <x v="39"/>
  </r>
  <r>
    <s v="73681-15"/>
    <x v="83"/>
    <s v="1121 Mission Street"/>
    <x v="1"/>
    <n v="47272"/>
    <m/>
    <m/>
    <m/>
    <m/>
    <m/>
    <m/>
    <x v="132"/>
  </r>
  <r>
    <s v="73727-15"/>
    <x v="83"/>
    <s v="1121 Mission Street"/>
    <x v="1"/>
    <n v="87125"/>
    <m/>
    <m/>
    <m/>
    <m/>
    <m/>
    <m/>
    <x v="133"/>
  </r>
  <r>
    <s v="74637-15"/>
    <x v="83"/>
    <s v="1121 Mission Street"/>
    <x v="0"/>
    <n v="256250"/>
    <m/>
    <m/>
    <m/>
    <m/>
    <m/>
    <m/>
    <x v="134"/>
  </r>
  <r>
    <s v="76987-15"/>
    <x v="84"/>
    <s v="1834 Sutter Street"/>
    <x v="2"/>
    <m/>
    <m/>
    <m/>
    <n v="100000"/>
    <m/>
    <m/>
    <m/>
    <x v="22"/>
  </r>
  <r>
    <s v="73523-15"/>
    <x v="85"/>
    <s v="683 Clay Street"/>
    <x v="15"/>
    <m/>
    <m/>
    <m/>
    <n v="50000"/>
    <m/>
    <m/>
    <m/>
    <x v="6"/>
  </r>
  <r>
    <s v="73524-15"/>
    <x v="86"/>
    <s v="870 Market St., Suite 677"/>
    <x v="12"/>
    <n v="89258"/>
    <m/>
    <m/>
    <n v="64076"/>
    <m/>
    <m/>
    <m/>
    <x v="135"/>
  </r>
  <r>
    <s v="78325-15"/>
    <x v="86"/>
    <s v="870 Market Street, Ste. 677"/>
    <x v="12"/>
    <m/>
    <m/>
    <m/>
    <n v="58963"/>
    <m/>
    <m/>
    <m/>
    <x v="136"/>
  </r>
  <r>
    <s v="82585-15"/>
    <x v="86"/>
    <s v="870 Market St. Ste. 677"/>
    <x v="12"/>
    <n v="341000"/>
    <m/>
    <m/>
    <m/>
    <m/>
    <m/>
    <m/>
    <x v="137"/>
  </r>
  <r>
    <s v="82586-15"/>
    <x v="86"/>
    <s v="870 Market Street, Suite 677"/>
    <x v="12"/>
    <n v="59000"/>
    <m/>
    <m/>
    <m/>
    <m/>
    <m/>
    <m/>
    <x v="138"/>
  </r>
  <r>
    <s v="78492-15"/>
    <x v="86"/>
    <s v="870 Market Street., Suite 677"/>
    <x v="12"/>
    <n v="1166034.7"/>
    <m/>
    <m/>
    <m/>
    <m/>
    <m/>
    <m/>
    <x v="139"/>
  </r>
  <r>
    <s v="76058-15"/>
    <x v="86"/>
    <s v="870 Market St., Suite 677"/>
    <x v="12"/>
    <n v="672723.76"/>
    <m/>
    <m/>
    <m/>
    <m/>
    <m/>
    <m/>
    <x v="140"/>
  </r>
  <r>
    <s v="82636-15"/>
    <x v="86"/>
    <s v="870 Market Street, Suite 677"/>
    <x v="6"/>
    <m/>
    <m/>
    <m/>
    <n v="50000"/>
    <m/>
    <m/>
    <m/>
    <x v="6"/>
  </r>
  <r>
    <s v="78695-15"/>
    <x v="87"/>
    <s v="2185 N. California Blvd., Ste. 575"/>
    <x v="14"/>
    <n v="230000"/>
    <m/>
    <m/>
    <m/>
    <m/>
    <m/>
    <m/>
    <x v="141"/>
  </r>
  <r>
    <s v="76988-15"/>
    <x v="88"/>
    <s v="55 Laguna Street"/>
    <x v="2"/>
    <m/>
    <m/>
    <m/>
    <n v="250000"/>
    <m/>
    <m/>
    <m/>
    <x v="47"/>
  </r>
  <r>
    <s v="78705-15"/>
    <x v="89"/>
    <s v="2565 San Bruno Avenue"/>
    <x v="3"/>
    <n v="75000"/>
    <m/>
    <m/>
    <m/>
    <m/>
    <m/>
    <m/>
    <x v="39"/>
  </r>
  <r>
    <s v="73527-15"/>
    <x v="89"/>
    <s v="2565 San Bruno Avenue"/>
    <x v="2"/>
    <m/>
    <m/>
    <m/>
    <n v="0"/>
    <m/>
    <m/>
    <n v="168300"/>
    <x v="142"/>
  </r>
  <r>
    <s v="73597-15"/>
    <x v="90"/>
    <s v="785 Market Street, 10th Floor"/>
    <x v="1"/>
    <m/>
    <m/>
    <m/>
    <n v="50000"/>
    <m/>
    <m/>
    <m/>
    <x v="6"/>
  </r>
  <r>
    <s v="73615-15"/>
    <x v="90"/>
    <s v="785 Market Street, 10th Floor"/>
    <x v="9"/>
    <m/>
    <m/>
    <m/>
    <n v="50000"/>
    <m/>
    <m/>
    <m/>
    <x v="6"/>
  </r>
  <r>
    <s v="75072-15"/>
    <x v="90"/>
    <s v="785 Market St 10th Floor"/>
    <x v="11"/>
    <m/>
    <m/>
    <m/>
    <m/>
    <m/>
    <n v="75000"/>
    <m/>
    <x v="39"/>
  </r>
  <r>
    <s v="73529-15"/>
    <x v="91"/>
    <s v="953 DeHaro St"/>
    <x v="4"/>
    <n v="80622"/>
    <m/>
    <m/>
    <m/>
    <m/>
    <m/>
    <m/>
    <x v="143"/>
  </r>
  <r>
    <s v="73530-15"/>
    <x v="92"/>
    <s v="95 Washburn Street"/>
    <x v="12"/>
    <m/>
    <m/>
    <m/>
    <n v="20000"/>
    <m/>
    <m/>
    <m/>
    <x v="51"/>
  </r>
  <r>
    <s v="74697-15"/>
    <x v="92"/>
    <s v="95 Washburn Street"/>
    <x v="12"/>
    <n v="11149.35"/>
    <m/>
    <m/>
    <m/>
    <m/>
    <m/>
    <m/>
    <x v="144"/>
  </r>
  <r>
    <s v="73531-15"/>
    <x v="93"/>
    <s v="4601 Third Street"/>
    <x v="7"/>
    <m/>
    <m/>
    <m/>
    <m/>
    <n v="45000"/>
    <m/>
    <m/>
    <x v="15"/>
  </r>
  <r>
    <s v="73532-15"/>
    <x v="94"/>
    <s v="601 Cesar Chavez Street"/>
    <x v="10"/>
    <m/>
    <n v="50000"/>
    <m/>
    <m/>
    <m/>
    <m/>
    <m/>
    <x v="6"/>
  </r>
  <r>
    <s v="78048-15"/>
    <x v="94"/>
    <s v="1761 Turk Street"/>
    <x v="2"/>
    <m/>
    <n v="32900"/>
    <m/>
    <m/>
    <m/>
    <m/>
    <m/>
    <x v="145"/>
  </r>
  <r>
    <s v="74700-15"/>
    <x v="95"/>
    <s v="Pier 28 Suite 1"/>
    <x v="6"/>
    <m/>
    <m/>
    <m/>
    <m/>
    <m/>
    <n v="33711.83"/>
    <m/>
    <x v="146"/>
  </r>
  <r>
    <s v="75073-15"/>
    <x v="95"/>
    <s v="Pier 28 Suite 1"/>
    <x v="6"/>
    <m/>
    <m/>
    <m/>
    <m/>
    <m/>
    <n v="50000"/>
    <m/>
    <x v="6"/>
  </r>
  <r>
    <s v="73533-15"/>
    <x v="95"/>
    <s v="Pier 28 Suite 1"/>
    <x v="5"/>
    <m/>
    <m/>
    <m/>
    <n v="30000"/>
    <m/>
    <m/>
    <m/>
    <x v="87"/>
  </r>
  <r>
    <s v="75558-15"/>
    <x v="95"/>
    <s v="Pier 28 Suite 1"/>
    <x v="5"/>
    <m/>
    <m/>
    <n v="115000"/>
    <m/>
    <m/>
    <m/>
    <m/>
    <x v="147"/>
  </r>
  <r>
    <s v="75075-15"/>
    <x v="96"/>
    <s v="275 Fifth Street"/>
    <x v="11"/>
    <m/>
    <m/>
    <m/>
    <m/>
    <m/>
    <n v="75000"/>
    <m/>
    <x v="39"/>
  </r>
  <r>
    <s v="75076-15"/>
    <x v="96"/>
    <s v="275 5th St"/>
    <x v="11"/>
    <m/>
    <m/>
    <m/>
    <m/>
    <m/>
    <n v="75000"/>
    <m/>
    <x v="39"/>
  </r>
  <r>
    <s v="75074-15"/>
    <x v="96"/>
    <s v="275 5th Street"/>
    <x v="12"/>
    <m/>
    <m/>
    <m/>
    <m/>
    <m/>
    <n v="50000"/>
    <m/>
    <x v="6"/>
  </r>
  <r>
    <s v="77860-15"/>
    <x v="96"/>
    <s v="275 Fifth Street"/>
    <x v="2"/>
    <m/>
    <m/>
    <m/>
    <n v="140000"/>
    <m/>
    <m/>
    <m/>
    <x v="148"/>
  </r>
  <r>
    <s v="77861-15"/>
    <x v="97"/>
    <s v="741 30th Avenue"/>
    <x v="2"/>
    <m/>
    <m/>
    <m/>
    <n v="103522"/>
    <m/>
    <m/>
    <m/>
    <x v="149"/>
  </r>
  <r>
    <s v="73614-15"/>
    <x v="97"/>
    <s v="741 30th Ave"/>
    <x v="12"/>
    <m/>
    <m/>
    <m/>
    <n v="38000"/>
    <m/>
    <m/>
    <m/>
    <x v="150"/>
  </r>
  <r>
    <s v="73536-15"/>
    <x v="98"/>
    <s v="1 South Van Ness Ave."/>
    <x v="14"/>
    <m/>
    <n v="35000"/>
    <m/>
    <n v="71334"/>
    <m/>
    <m/>
    <m/>
    <x v="151"/>
  </r>
  <r>
    <s v="82710-15"/>
    <x v="99"/>
    <s v="Fillmore and Geary"/>
    <x v="6"/>
    <m/>
    <m/>
    <n v="14393.15"/>
    <m/>
    <m/>
    <m/>
    <m/>
    <x v="152"/>
  </r>
  <r>
    <s v="78703-15"/>
    <x v="100"/>
    <s v="2798 San Bruno avenue"/>
    <x v="3"/>
    <n v="50000"/>
    <m/>
    <m/>
    <m/>
    <m/>
    <m/>
    <m/>
    <x v="6"/>
  </r>
  <r>
    <s v="75045-15"/>
    <x v="100"/>
    <s v="2798 San Bruno avenue"/>
    <x v="12"/>
    <n v="35000"/>
    <m/>
    <m/>
    <m/>
    <m/>
    <m/>
    <m/>
    <x v="30"/>
  </r>
  <r>
    <s v="73606-15"/>
    <x v="101"/>
    <s v="21 Columbus Ave #231"/>
    <x v="8"/>
    <m/>
    <m/>
    <m/>
    <n v="36000"/>
    <m/>
    <m/>
    <m/>
    <x v="153"/>
  </r>
  <r>
    <s v="73752-15"/>
    <x v="101"/>
    <s v="21 Columbus Ave #231"/>
    <x v="8"/>
    <m/>
    <m/>
    <n v="25000"/>
    <m/>
    <m/>
    <m/>
    <m/>
    <x v="154"/>
  </r>
  <r>
    <s v="73538-15"/>
    <x v="102"/>
    <s v="5 Thomas Mellon Circle, Suite 248"/>
    <x v="9"/>
    <m/>
    <m/>
    <m/>
    <n v="50000"/>
    <m/>
    <m/>
    <m/>
    <x v="6"/>
  </r>
  <r>
    <s v="73539-15"/>
    <x v="103"/>
    <s v="4439 Third Street"/>
    <x v="14"/>
    <m/>
    <m/>
    <n v="150000"/>
    <m/>
    <m/>
    <m/>
    <m/>
    <x v="0"/>
  </r>
  <r>
    <s v="73642-15"/>
    <x v="103"/>
    <s v="4439 Third Street"/>
    <x v="8"/>
    <m/>
    <m/>
    <m/>
    <n v="50000"/>
    <m/>
    <m/>
    <m/>
    <x v="6"/>
  </r>
  <r>
    <s v="73649-15"/>
    <x v="103"/>
    <s v="4439 Third Street"/>
    <x v="15"/>
    <m/>
    <m/>
    <m/>
    <n v="50000"/>
    <m/>
    <m/>
    <m/>
    <x v="6"/>
  </r>
  <r>
    <s v="73687-15"/>
    <x v="103"/>
    <s v="4439 Third Street"/>
    <x v="14"/>
    <m/>
    <m/>
    <n v="50000"/>
    <m/>
    <m/>
    <m/>
    <m/>
    <x v="6"/>
  </r>
  <r>
    <s v="73732-15"/>
    <x v="103"/>
    <s v="4439 Third Street"/>
    <x v="14"/>
    <m/>
    <m/>
    <n v="150000"/>
    <m/>
    <m/>
    <m/>
    <m/>
    <x v="0"/>
  </r>
  <r>
    <s v="78696-15"/>
    <x v="103"/>
    <s v="4439 Third Street"/>
    <x v="14"/>
    <n v="150000"/>
    <m/>
    <n v="150000"/>
    <m/>
    <m/>
    <m/>
    <m/>
    <x v="155"/>
  </r>
  <r>
    <s v="73650-15"/>
    <x v="103"/>
    <s v="4439 Third Street"/>
    <x v="2"/>
    <m/>
    <m/>
    <m/>
    <n v="87000"/>
    <m/>
    <m/>
    <m/>
    <x v="71"/>
  </r>
  <r>
    <s v="73541-15"/>
    <x v="104"/>
    <s v="1663 Mission St. Suite 320"/>
    <x v="6"/>
    <n v="168587"/>
    <m/>
    <m/>
    <m/>
    <m/>
    <m/>
    <m/>
    <x v="156"/>
  </r>
  <r>
    <s v="82359-15"/>
    <x v="104"/>
    <s v="2 Burrows Street"/>
    <x v="6"/>
    <n v="50000"/>
    <m/>
    <m/>
    <m/>
    <m/>
    <m/>
    <m/>
    <x v="6"/>
  </r>
  <r>
    <s v="86891-15"/>
    <x v="104"/>
    <s v="45 29th St."/>
    <x v="6"/>
    <m/>
    <m/>
    <n v="20000"/>
    <m/>
    <m/>
    <m/>
    <m/>
    <x v="51"/>
  </r>
  <r>
    <s v="74638-15"/>
    <x v="105"/>
    <s v="70 Oak Grove"/>
    <x v="9"/>
    <n v="85859"/>
    <m/>
    <m/>
    <m/>
    <m/>
    <m/>
    <m/>
    <x v="157"/>
  </r>
  <r>
    <s v="73542-15"/>
    <x v="106"/>
    <s v="417 South Van Ness Avenue"/>
    <x v="0"/>
    <n v="82000"/>
    <m/>
    <m/>
    <m/>
    <m/>
    <m/>
    <m/>
    <x v="3"/>
  </r>
  <r>
    <s v="73596-15"/>
    <x v="106"/>
    <s v="417 South Van Ness"/>
    <x v="0"/>
    <m/>
    <m/>
    <n v="25000"/>
    <n v="60000"/>
    <m/>
    <m/>
    <m/>
    <x v="158"/>
  </r>
  <r>
    <s v="73629-15"/>
    <x v="106"/>
    <s v="417 South Van Ness"/>
    <x v="0"/>
    <m/>
    <m/>
    <n v="50000"/>
    <m/>
    <m/>
    <m/>
    <m/>
    <x v="6"/>
  </r>
  <r>
    <s v="73630-15"/>
    <x v="106"/>
    <s v="1663 Mission Street"/>
    <x v="0"/>
    <m/>
    <m/>
    <n v="50000"/>
    <m/>
    <m/>
    <m/>
    <m/>
    <x v="6"/>
  </r>
  <r>
    <s v="74703-15"/>
    <x v="106"/>
    <s v="417 South Van Ness"/>
    <x v="0"/>
    <n v="85752"/>
    <m/>
    <n v="80033.11"/>
    <m/>
    <m/>
    <m/>
    <m/>
    <x v="159"/>
  </r>
  <r>
    <s v="78674-15"/>
    <x v="106"/>
    <s v="1663 Mission St., Ste. 504"/>
    <x v="6"/>
    <n v="175000"/>
    <m/>
    <m/>
    <m/>
    <m/>
    <m/>
    <m/>
    <x v="104"/>
  </r>
  <r>
    <s v="73543-15"/>
    <x v="107"/>
    <s v="601 Jackson Street, Basement"/>
    <x v="14"/>
    <m/>
    <m/>
    <n v="15000"/>
    <n v="25000"/>
    <m/>
    <m/>
    <m/>
    <x v="34"/>
  </r>
  <r>
    <s v="73676-15"/>
    <x v="107"/>
    <s v="601 Jackson Street, Basement"/>
    <x v="0"/>
    <m/>
    <m/>
    <n v="15000"/>
    <n v="25000"/>
    <m/>
    <m/>
    <m/>
    <x v="34"/>
  </r>
  <r>
    <s v="74715-15"/>
    <x v="108"/>
    <s v="1188 Franklin Street"/>
    <x v="1"/>
    <m/>
    <m/>
    <m/>
    <n v="165000"/>
    <m/>
    <m/>
    <m/>
    <x v="160"/>
  </r>
  <r>
    <s v="73643-15"/>
    <x v="109"/>
    <s v="1800 Market St."/>
    <x v="8"/>
    <m/>
    <m/>
    <m/>
    <n v="50000"/>
    <m/>
    <m/>
    <m/>
    <x v="6"/>
  </r>
  <r>
    <s v="74627-15"/>
    <x v="109"/>
    <s v="1800 Market St"/>
    <x v="14"/>
    <n v="112750"/>
    <m/>
    <m/>
    <m/>
    <m/>
    <m/>
    <m/>
    <x v="161"/>
  </r>
  <r>
    <s v="78677-15"/>
    <x v="109"/>
    <s v="1800 Market Street"/>
    <x v="6"/>
    <n v="25200"/>
    <m/>
    <m/>
    <m/>
    <m/>
    <m/>
    <m/>
    <x v="162"/>
  </r>
  <r>
    <s v="73636-15"/>
    <x v="109"/>
    <s v="1800 Market Street"/>
    <x v="2"/>
    <n v="680814"/>
    <m/>
    <m/>
    <m/>
    <m/>
    <m/>
    <n v="756461"/>
    <x v="163"/>
  </r>
  <r>
    <s v="78218-15"/>
    <x v="109"/>
    <s v="1800 Market Street"/>
    <x v="2"/>
    <n v="219716.32"/>
    <m/>
    <m/>
    <m/>
    <m/>
    <m/>
    <m/>
    <x v="164"/>
  </r>
  <r>
    <s v="73724-15"/>
    <x v="110"/>
    <s v="875 O'Farrell Street"/>
    <x v="9"/>
    <n v="119141"/>
    <m/>
    <m/>
    <m/>
    <m/>
    <m/>
    <m/>
    <x v="165"/>
  </r>
  <r>
    <s v="73547-15"/>
    <x v="111"/>
    <s v="3918 Lawton St."/>
    <x v="9"/>
    <m/>
    <m/>
    <m/>
    <n v="50000"/>
    <m/>
    <m/>
    <m/>
    <x v="6"/>
  </r>
  <r>
    <s v="73548-15"/>
    <x v="112"/>
    <s v="1060 Howard St."/>
    <x v="1"/>
    <m/>
    <m/>
    <m/>
    <n v="81111"/>
    <m/>
    <m/>
    <m/>
    <x v="166"/>
  </r>
  <r>
    <s v="76990-15"/>
    <x v="113"/>
    <s v="660 Lombard Street"/>
    <x v="2"/>
    <m/>
    <m/>
    <m/>
    <n v="85800"/>
    <m/>
    <m/>
    <m/>
    <x v="167"/>
  </r>
  <r>
    <s v="73549-15"/>
    <x v="114"/>
    <s v="48 Turk Street"/>
    <x v="3"/>
    <n v="224073"/>
    <m/>
    <m/>
    <m/>
    <m/>
    <m/>
    <m/>
    <x v="168"/>
  </r>
  <r>
    <s v="73644-15"/>
    <x v="114"/>
    <s v="126 Hyde Street, 2nd Floor"/>
    <x v="0"/>
    <m/>
    <m/>
    <n v="45000"/>
    <n v="42500"/>
    <m/>
    <m/>
    <m/>
    <x v="169"/>
  </r>
  <r>
    <s v="75733-15"/>
    <x v="114"/>
    <s v="126 Hyde Street"/>
    <x v="0"/>
    <n v="744947"/>
    <m/>
    <m/>
    <m/>
    <m/>
    <m/>
    <m/>
    <x v="170"/>
  </r>
  <r>
    <s v="73550-15"/>
    <x v="115"/>
    <s v="215 Taylor Street"/>
    <x v="5"/>
    <m/>
    <m/>
    <m/>
    <n v="123270"/>
    <m/>
    <m/>
    <m/>
    <x v="171"/>
  </r>
  <r>
    <s v="73672-15"/>
    <x v="115"/>
    <s v="215 Taylor Street"/>
    <x v="5"/>
    <m/>
    <m/>
    <m/>
    <n v="3820"/>
    <m/>
    <m/>
    <m/>
    <x v="172"/>
  </r>
  <r>
    <s v="73551-15"/>
    <x v="116"/>
    <s v="1500 Howard Street"/>
    <x v="9"/>
    <m/>
    <m/>
    <m/>
    <n v="50000"/>
    <m/>
    <m/>
    <m/>
    <x v="6"/>
  </r>
  <r>
    <s v="78699-15"/>
    <x v="117"/>
    <s v="1014 Torney Avenue"/>
    <x v="6"/>
    <n v="100000"/>
    <m/>
    <m/>
    <m/>
    <m/>
    <m/>
    <m/>
    <x v="22"/>
  </r>
  <r>
    <s v="78675-15"/>
    <x v="117"/>
    <s v="474 Valencia St."/>
    <x v="6"/>
    <n v="75000"/>
    <m/>
    <m/>
    <m/>
    <m/>
    <m/>
    <m/>
    <x v="39"/>
  </r>
  <r>
    <s v="74639-15"/>
    <x v="117"/>
    <s v="1014 Torney Ave"/>
    <x v="6"/>
    <n v="76875"/>
    <m/>
    <m/>
    <m/>
    <m/>
    <m/>
    <m/>
    <x v="173"/>
  </r>
  <r>
    <s v="73570-15"/>
    <x v="117"/>
    <s v="1014 Torney Ave"/>
    <x v="6"/>
    <n v="61760.78"/>
    <m/>
    <m/>
    <m/>
    <m/>
    <m/>
    <m/>
    <x v="174"/>
  </r>
  <r>
    <s v="73554-15"/>
    <x v="118"/>
    <s v="1038 Howard Street"/>
    <x v="3"/>
    <m/>
    <m/>
    <m/>
    <n v="55000"/>
    <m/>
    <m/>
    <m/>
    <x v="102"/>
  </r>
  <r>
    <s v="75077-15"/>
    <x v="118"/>
    <s v="1038 Howard Street"/>
    <x v="6"/>
    <m/>
    <m/>
    <m/>
    <m/>
    <m/>
    <n v="50000"/>
    <m/>
    <x v="6"/>
  </r>
  <r>
    <s v="73671-15"/>
    <x v="118"/>
    <s v="1038 Howard Street"/>
    <x v="12"/>
    <n v="20898"/>
    <m/>
    <m/>
    <m/>
    <m/>
    <m/>
    <m/>
    <x v="175"/>
  </r>
  <r>
    <s v="74622-15"/>
    <x v="118"/>
    <s v="1038 Howard Street"/>
    <x v="12"/>
    <n v="20300"/>
    <m/>
    <m/>
    <m/>
    <m/>
    <m/>
    <m/>
    <x v="176"/>
  </r>
  <r>
    <s v="76992-15"/>
    <x v="119"/>
    <s v="398 Eddy Street"/>
    <x v="2"/>
    <m/>
    <m/>
    <m/>
    <m/>
    <m/>
    <m/>
    <n v="402605.95"/>
    <x v="177"/>
  </r>
  <r>
    <s v="73556-15"/>
    <x v="120"/>
    <s v="1426 Fillmore St, Suite 204"/>
    <x v="3"/>
    <n v="48015.92"/>
    <m/>
    <m/>
    <m/>
    <m/>
    <m/>
    <m/>
    <x v="178"/>
  </r>
  <r>
    <s v="73616-15"/>
    <x v="120"/>
    <s v="241 Oneida Avenue, Room 181"/>
    <x v="9"/>
    <m/>
    <m/>
    <m/>
    <n v="55000"/>
    <m/>
    <m/>
    <m/>
    <x v="102"/>
  </r>
  <r>
    <s v="73617-15"/>
    <x v="120"/>
    <s v="1426 Fillmore St, Suite 204"/>
    <x v="3"/>
    <n v="210244"/>
    <m/>
    <m/>
    <m/>
    <m/>
    <m/>
    <m/>
    <x v="179"/>
  </r>
  <r>
    <s v="73618-15"/>
    <x v="120"/>
    <s v="1426 Fillmore St., Suite 204"/>
    <x v="4"/>
    <n v="120932"/>
    <m/>
    <m/>
    <m/>
    <m/>
    <m/>
    <m/>
    <x v="180"/>
  </r>
  <r>
    <s v="74640-15"/>
    <x v="120"/>
    <s v="1426 Fillmore St, Suite 204"/>
    <x v="3"/>
    <n v="128125"/>
    <m/>
    <m/>
    <m/>
    <m/>
    <m/>
    <m/>
    <x v="32"/>
  </r>
  <r>
    <s v="75078-15"/>
    <x v="121"/>
    <s v="1167 Mission Street, 2nd floor"/>
    <x v="11"/>
    <m/>
    <m/>
    <m/>
    <m/>
    <m/>
    <n v="80000"/>
    <m/>
    <x v="49"/>
  </r>
  <r>
    <s v="73557-15"/>
    <x v="122"/>
    <s v="1010 Mission Street"/>
    <x v="14"/>
    <m/>
    <m/>
    <n v="16048.12"/>
    <m/>
    <m/>
    <m/>
    <m/>
    <x v="181"/>
  </r>
  <r>
    <s v="73599-15"/>
    <x v="122"/>
    <s v="1010 Mission Street"/>
    <x v="14"/>
    <m/>
    <m/>
    <n v="60000"/>
    <m/>
    <m/>
    <m/>
    <m/>
    <x v="112"/>
  </r>
  <r>
    <s v="73725-15"/>
    <x v="122"/>
    <s v="1010 Mission Street"/>
    <x v="14"/>
    <m/>
    <m/>
    <n v="50000"/>
    <m/>
    <m/>
    <m/>
    <m/>
    <x v="6"/>
  </r>
  <r>
    <s v="74704-15"/>
    <x v="122"/>
    <s v="1010 Mission Street"/>
    <x v="14"/>
    <n v="33070.1"/>
    <m/>
    <m/>
    <m/>
    <m/>
    <m/>
    <m/>
    <x v="182"/>
  </r>
  <r>
    <s v="74705-15"/>
    <x v="122"/>
    <s v="1010 Mission Street"/>
    <x v="14"/>
    <m/>
    <m/>
    <m/>
    <m/>
    <m/>
    <n v="62090.25"/>
    <m/>
    <x v="183"/>
  </r>
  <r>
    <s v="75056-15"/>
    <x v="122"/>
    <s v="1010 Mission Street"/>
    <x v="14"/>
    <m/>
    <m/>
    <m/>
    <m/>
    <m/>
    <n v="80000"/>
    <m/>
    <x v="49"/>
  </r>
  <r>
    <s v="77867-15"/>
    <x v="122"/>
    <s v="1010 Mission Street"/>
    <x v="14"/>
    <n v="60000"/>
    <m/>
    <m/>
    <m/>
    <m/>
    <m/>
    <m/>
    <x v="112"/>
  </r>
  <r>
    <s v="73682-15"/>
    <x v="123"/>
    <s v="166 Eddy Street"/>
    <x v="9"/>
    <m/>
    <m/>
    <m/>
    <n v="50000"/>
    <m/>
    <m/>
    <m/>
    <x v="6"/>
  </r>
  <r>
    <s v="78679-15"/>
    <x v="123"/>
    <s v="166 Eddy Street"/>
    <x v="9"/>
    <n v="200000"/>
    <m/>
    <m/>
    <m/>
    <m/>
    <m/>
    <m/>
    <x v="26"/>
  </r>
  <r>
    <s v="78504-15"/>
    <x v="124"/>
    <s v="175 7th Street"/>
    <x v="9"/>
    <m/>
    <m/>
    <m/>
    <m/>
    <m/>
    <n v="88333.04"/>
    <m/>
    <x v="184"/>
  </r>
  <r>
    <s v="73576-15"/>
    <x v="124"/>
    <s v="175 7th Street"/>
    <x v="12"/>
    <n v="20500"/>
    <m/>
    <m/>
    <m/>
    <m/>
    <m/>
    <m/>
    <x v="7"/>
  </r>
  <r>
    <s v="75079-15"/>
    <x v="124"/>
    <s v="175 7th Street"/>
    <x v="12"/>
    <m/>
    <m/>
    <m/>
    <m/>
    <m/>
    <n v="5000"/>
    <m/>
    <x v="185"/>
  </r>
  <r>
    <s v="73559-15"/>
    <x v="125"/>
    <s v="827 Broadway"/>
    <x v="3"/>
    <n v="13344.67"/>
    <m/>
    <m/>
    <m/>
    <m/>
    <m/>
    <m/>
    <x v="186"/>
  </r>
  <r>
    <s v="74628-15"/>
    <x v="125"/>
    <s v="827 Broadway"/>
    <x v="3"/>
    <n v="107625"/>
    <m/>
    <m/>
    <m/>
    <m/>
    <m/>
    <m/>
    <x v="187"/>
  </r>
  <r>
    <s v="78037-15"/>
    <x v="125"/>
    <s v="700 Velasco"/>
    <x v="2"/>
    <m/>
    <m/>
    <m/>
    <n v="45000"/>
    <m/>
    <m/>
    <m/>
    <x v="15"/>
  </r>
  <r>
    <s v="73593-15"/>
    <x v="125"/>
    <s v="827 Broadway"/>
    <x v="2"/>
    <m/>
    <m/>
    <m/>
    <n v="64473"/>
    <m/>
    <m/>
    <m/>
    <x v="188"/>
  </r>
  <r>
    <s v="73560-15"/>
    <x v="126"/>
    <s v="1600 Lane Street"/>
    <x v="4"/>
    <n v="668387"/>
    <m/>
    <m/>
    <m/>
    <m/>
    <m/>
    <m/>
    <x v="189"/>
  </r>
  <r>
    <s v="73653-15"/>
    <x v="126"/>
    <s v="1601 Lane Street"/>
    <x v="9"/>
    <m/>
    <m/>
    <m/>
    <n v="55000"/>
    <m/>
    <m/>
    <m/>
    <x v="102"/>
  </r>
  <r>
    <s v="73675-15"/>
    <x v="126"/>
    <s v="1065 Oakdale"/>
    <x v="7"/>
    <m/>
    <m/>
    <m/>
    <n v="50000"/>
    <m/>
    <m/>
    <m/>
    <x v="6"/>
  </r>
  <r>
    <s v="73552-15"/>
    <x v="127"/>
    <s v="1652 Sunnydale Ave"/>
    <x v="9"/>
    <m/>
    <m/>
    <m/>
    <n v="50000"/>
    <m/>
    <m/>
    <m/>
    <x v="6"/>
  </r>
  <r>
    <s v="73673-15"/>
    <x v="127"/>
    <s v="1652 Sunnydale Ave"/>
    <x v="4"/>
    <n v="50000"/>
    <m/>
    <m/>
    <m/>
    <m/>
    <m/>
    <m/>
    <x v="6"/>
  </r>
  <r>
    <s v="73561-15"/>
    <x v="128"/>
    <s v="855 Sacramento St."/>
    <x v="3"/>
    <n v="38433"/>
    <m/>
    <m/>
    <m/>
    <m/>
    <m/>
    <m/>
    <x v="190"/>
  </r>
  <r>
    <s v="77864-15"/>
    <x v="128"/>
    <s v="855 Sacramento Street"/>
    <x v="9"/>
    <n v="40000"/>
    <m/>
    <m/>
    <m/>
    <m/>
    <m/>
    <m/>
    <x v="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3" firstHeaderRow="1" firstDataRow="1" firstDataCol="1"/>
  <pivotFields count="12">
    <pivotField showAll="0"/>
    <pivotField axis="axisRow" showAll="0">
      <items count="1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>
      <items count="18">
        <item x="2"/>
        <item x="6"/>
        <item x="5"/>
        <item x="12"/>
        <item x="14"/>
        <item x="0"/>
        <item x="13"/>
        <item x="15"/>
        <item x="9"/>
        <item x="7"/>
        <item x="4"/>
        <item x="1"/>
        <item x="11"/>
        <item x="3"/>
        <item x="10"/>
        <item x="8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>
      <items count="192">
        <item x="75"/>
        <item x="64"/>
        <item x="13"/>
        <item x="172"/>
        <item x="185"/>
        <item x="5"/>
        <item x="84"/>
        <item x="67"/>
        <item x="144"/>
        <item x="111"/>
        <item x="53"/>
        <item x="186"/>
        <item x="17"/>
        <item x="88"/>
        <item x="73"/>
        <item x="152"/>
        <item x="14"/>
        <item x="63"/>
        <item x="105"/>
        <item x="181"/>
        <item x="96"/>
        <item x="59"/>
        <item x="51"/>
        <item x="176"/>
        <item x="7"/>
        <item x="99"/>
        <item x="175"/>
        <item x="77"/>
        <item x="154"/>
        <item x="162"/>
        <item x="106"/>
        <item x="78"/>
        <item x="31"/>
        <item x="16"/>
        <item x="87"/>
        <item x="145"/>
        <item x="182"/>
        <item x="146"/>
        <item x="30"/>
        <item x="153"/>
        <item x="150"/>
        <item x="95"/>
        <item x="190"/>
        <item x="62"/>
        <item x="21"/>
        <item x="34"/>
        <item x="11"/>
        <item x="109"/>
        <item x="66"/>
        <item x="37"/>
        <item x="29"/>
        <item x="15"/>
        <item x="56"/>
        <item x="127"/>
        <item x="132"/>
        <item x="178"/>
        <item x="130"/>
        <item x="117"/>
        <item x="6"/>
        <item x="68"/>
        <item x="12"/>
        <item x="2"/>
        <item x="9"/>
        <item x="82"/>
        <item x="103"/>
        <item x="70"/>
        <item x="57"/>
        <item x="52"/>
        <item x="113"/>
        <item x="23"/>
        <item x="102"/>
        <item x="136"/>
        <item x="83"/>
        <item x="138"/>
        <item x="112"/>
        <item x="131"/>
        <item x="174"/>
        <item x="98"/>
        <item x="183"/>
        <item x="188"/>
        <item x="50"/>
        <item x="124"/>
        <item x="44"/>
        <item x="90"/>
        <item x="58"/>
        <item x="39"/>
        <item x="129"/>
        <item x="173"/>
        <item x="110"/>
        <item x="49"/>
        <item x="143"/>
        <item x="166"/>
        <item x="89"/>
        <item x="3"/>
        <item x="121"/>
        <item x="107"/>
        <item x="54"/>
        <item x="158"/>
        <item x="167"/>
        <item x="157"/>
        <item x="71"/>
        <item x="133"/>
        <item x="108"/>
        <item x="169"/>
        <item x="184"/>
        <item x="28"/>
        <item x="97"/>
        <item x="100"/>
        <item x="101"/>
        <item x="61"/>
        <item x="55"/>
        <item x="18"/>
        <item x="22"/>
        <item x="19"/>
        <item x="116"/>
        <item x="149"/>
        <item x="151"/>
        <item x="187"/>
        <item x="115"/>
        <item x="161"/>
        <item x="147"/>
        <item x="165"/>
        <item x="36"/>
        <item x="180"/>
        <item x="91"/>
        <item x="171"/>
        <item x="10"/>
        <item x="20"/>
        <item x="24"/>
        <item x="32"/>
        <item x="148"/>
        <item x="46"/>
        <item x="69"/>
        <item x="0"/>
        <item x="135"/>
        <item x="38"/>
        <item x="160"/>
        <item x="159"/>
        <item x="123"/>
        <item x="142"/>
        <item x="85"/>
        <item x="156"/>
        <item x="65"/>
        <item x="120"/>
        <item x="104"/>
        <item x="86"/>
        <item x="40"/>
        <item x="33"/>
        <item x="26"/>
        <item x="128"/>
        <item x="93"/>
        <item x="179"/>
        <item x="8"/>
        <item x="164"/>
        <item x="35"/>
        <item x="122"/>
        <item x="168"/>
        <item x="81"/>
        <item x="141"/>
        <item x="125"/>
        <item x="119"/>
        <item x="47"/>
        <item x="134"/>
        <item x="27"/>
        <item x="4"/>
        <item x="1"/>
        <item x="155"/>
        <item x="137"/>
        <item x="114"/>
        <item x="126"/>
        <item x="25"/>
        <item x="76"/>
        <item x="72"/>
        <item x="177"/>
        <item x="94"/>
        <item x="45"/>
        <item x="60"/>
        <item x="80"/>
        <item x="118"/>
        <item x="92"/>
        <item x="189"/>
        <item x="140"/>
        <item x="43"/>
        <item x="170"/>
        <item x="42"/>
        <item x="74"/>
        <item x="139"/>
        <item x="79"/>
        <item x="48"/>
        <item x="163"/>
        <item x="41"/>
        <item t="default"/>
      </items>
    </pivotField>
  </pivotFields>
  <rowFields count="1">
    <field x="1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Items count="1">
    <i/>
  </colItems>
  <dataFields count="1">
    <dataField name="Sum of Total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33"/>
  <sheetViews>
    <sheetView workbookViewId="0">
      <selection activeCell="A4" sqref="A4:B133"/>
    </sheetView>
  </sheetViews>
  <sheetFormatPr baseColWidth="10" defaultRowHeight="16" x14ac:dyDescent="0.2"/>
  <cols>
    <col min="1" max="1" width="71.1640625" bestFit="1" customWidth="1"/>
    <col min="2" max="2" width="12.1640625" bestFit="1" customWidth="1"/>
    <col min="3" max="3" width="12.6640625" bestFit="1" customWidth="1"/>
  </cols>
  <sheetData>
    <row r="3" spans="1:2" x14ac:dyDescent="0.2">
      <c r="A3" s="2" t="s">
        <v>666</v>
      </c>
      <c r="B3" t="s">
        <v>668</v>
      </c>
    </row>
    <row r="4" spans="1:2" x14ac:dyDescent="0.2">
      <c r="A4" s="3" t="s">
        <v>13</v>
      </c>
      <c r="B4" s="4">
        <v>444426</v>
      </c>
    </row>
    <row r="5" spans="1:2" x14ac:dyDescent="0.2">
      <c r="A5" s="3" t="s">
        <v>19</v>
      </c>
      <c r="B5" s="4">
        <v>133250</v>
      </c>
    </row>
    <row r="6" spans="1:2" x14ac:dyDescent="0.2">
      <c r="A6" s="3" t="s">
        <v>24</v>
      </c>
      <c r="B6" s="4">
        <v>293000</v>
      </c>
    </row>
    <row r="7" spans="1:2" x14ac:dyDescent="0.2">
      <c r="A7" s="3" t="s">
        <v>28</v>
      </c>
      <c r="B7" s="4">
        <v>75609.39</v>
      </c>
    </row>
    <row r="8" spans="1:2" x14ac:dyDescent="0.2">
      <c r="A8" s="3" t="s">
        <v>34</v>
      </c>
      <c r="B8" s="4">
        <v>216662</v>
      </c>
    </row>
    <row r="9" spans="1:2" x14ac:dyDescent="0.2">
      <c r="A9" s="3" t="s">
        <v>38</v>
      </c>
      <c r="B9" s="4">
        <v>50000</v>
      </c>
    </row>
    <row r="10" spans="1:2" x14ac:dyDescent="0.2">
      <c r="A10" s="3" t="s">
        <v>41</v>
      </c>
      <c r="B10" s="4">
        <v>176196</v>
      </c>
    </row>
    <row r="11" spans="1:2" x14ac:dyDescent="0.2">
      <c r="A11" s="3" t="s">
        <v>46</v>
      </c>
      <c r="B11" s="4">
        <v>198693.63</v>
      </c>
    </row>
    <row r="12" spans="1:2" x14ac:dyDescent="0.2">
      <c r="A12" s="3" t="s">
        <v>59</v>
      </c>
      <c r="B12" s="4">
        <v>99986.4</v>
      </c>
    </row>
    <row r="13" spans="1:2" x14ac:dyDescent="0.2">
      <c r="A13" s="3" t="s">
        <v>62</v>
      </c>
      <c r="B13" s="4">
        <v>102000</v>
      </c>
    </row>
    <row r="14" spans="1:2" x14ac:dyDescent="0.2">
      <c r="A14" s="3" t="s">
        <v>66</v>
      </c>
      <c r="B14" s="4">
        <v>50000</v>
      </c>
    </row>
    <row r="15" spans="1:2" x14ac:dyDescent="0.2">
      <c r="A15" s="3" t="s">
        <v>70</v>
      </c>
      <c r="B15" s="4">
        <v>956056.61</v>
      </c>
    </row>
    <row r="16" spans="1:2" x14ac:dyDescent="0.2">
      <c r="A16" s="3" t="s">
        <v>82</v>
      </c>
      <c r="B16" s="4">
        <v>200000</v>
      </c>
    </row>
    <row r="17" spans="1:2" x14ac:dyDescent="0.2">
      <c r="A17" s="3" t="s">
        <v>85</v>
      </c>
      <c r="B17" s="4">
        <v>290178</v>
      </c>
    </row>
    <row r="18" spans="1:2" x14ac:dyDescent="0.2">
      <c r="A18" s="3" t="s">
        <v>88</v>
      </c>
      <c r="B18" s="4">
        <v>358929.68</v>
      </c>
    </row>
    <row r="19" spans="1:2" x14ac:dyDescent="0.2">
      <c r="A19" s="3" t="s">
        <v>96</v>
      </c>
      <c r="B19" s="4">
        <v>190817</v>
      </c>
    </row>
    <row r="20" spans="1:2" x14ac:dyDescent="0.2">
      <c r="A20" s="3" t="s">
        <v>99</v>
      </c>
      <c r="B20" s="4">
        <v>40000</v>
      </c>
    </row>
    <row r="21" spans="1:2" x14ac:dyDescent="0.2">
      <c r="A21" s="3" t="s">
        <v>103</v>
      </c>
      <c r="B21" s="4">
        <v>383418</v>
      </c>
    </row>
    <row r="22" spans="1:2" x14ac:dyDescent="0.2">
      <c r="A22" s="3" t="s">
        <v>110</v>
      </c>
      <c r="B22" s="4">
        <v>100000</v>
      </c>
    </row>
    <row r="23" spans="1:2" x14ac:dyDescent="0.2">
      <c r="A23" s="3" t="s">
        <v>113</v>
      </c>
      <c r="B23" s="4">
        <v>230000</v>
      </c>
    </row>
    <row r="24" spans="1:2" x14ac:dyDescent="0.2">
      <c r="A24" s="3" t="s">
        <v>117</v>
      </c>
      <c r="B24" s="4">
        <v>3970574.6100000003</v>
      </c>
    </row>
    <row r="25" spans="1:2" x14ac:dyDescent="0.2">
      <c r="A25" s="3" t="s">
        <v>130</v>
      </c>
      <c r="B25" s="4">
        <v>397897</v>
      </c>
    </row>
    <row r="26" spans="1:2" x14ac:dyDescent="0.2">
      <c r="A26" s="3" t="s">
        <v>135</v>
      </c>
      <c r="B26" s="4">
        <v>1475457.64</v>
      </c>
    </row>
    <row r="27" spans="1:2" x14ac:dyDescent="0.2">
      <c r="A27" s="3" t="s">
        <v>141</v>
      </c>
      <c r="B27" s="4">
        <v>65000</v>
      </c>
    </row>
    <row r="28" spans="1:2" x14ac:dyDescent="0.2">
      <c r="A28" s="3" t="s">
        <v>144</v>
      </c>
      <c r="B28" s="4">
        <v>20000</v>
      </c>
    </row>
    <row r="29" spans="1:2" x14ac:dyDescent="0.2">
      <c r="A29" s="3" t="s">
        <v>148</v>
      </c>
      <c r="B29" s="4">
        <v>52723.7</v>
      </c>
    </row>
    <row r="30" spans="1:2" x14ac:dyDescent="0.2">
      <c r="A30" s="3" t="s">
        <v>151</v>
      </c>
      <c r="B30" s="4">
        <v>484130.67000000004</v>
      </c>
    </row>
    <row r="31" spans="1:2" x14ac:dyDescent="0.2">
      <c r="A31" s="3" t="s">
        <v>166</v>
      </c>
      <c r="B31" s="4">
        <v>563000</v>
      </c>
    </row>
    <row r="32" spans="1:2" x14ac:dyDescent="0.2">
      <c r="A32" s="3" t="s">
        <v>171</v>
      </c>
      <c r="B32" s="4">
        <v>38634</v>
      </c>
    </row>
    <row r="33" spans="1:2" x14ac:dyDescent="0.2">
      <c r="A33" s="3" t="s">
        <v>174</v>
      </c>
      <c r="B33" s="4">
        <v>160727.71</v>
      </c>
    </row>
    <row r="34" spans="1:2" x14ac:dyDescent="0.2">
      <c r="A34" s="3" t="s">
        <v>181</v>
      </c>
      <c r="B34" s="4">
        <v>174790</v>
      </c>
    </row>
    <row r="35" spans="1:2" x14ac:dyDescent="0.2">
      <c r="A35" s="3" t="s">
        <v>184</v>
      </c>
      <c r="B35" s="4">
        <v>91680</v>
      </c>
    </row>
    <row r="36" spans="1:2" x14ac:dyDescent="0.2">
      <c r="A36" s="3" t="s">
        <v>189</v>
      </c>
      <c r="B36" s="4">
        <v>48809.74</v>
      </c>
    </row>
    <row r="37" spans="1:2" x14ac:dyDescent="0.2">
      <c r="A37" s="3" t="s">
        <v>193</v>
      </c>
      <c r="B37" s="4">
        <v>50603</v>
      </c>
    </row>
    <row r="38" spans="1:2" x14ac:dyDescent="0.2">
      <c r="A38" s="3" t="s">
        <v>196</v>
      </c>
      <c r="B38" s="4">
        <v>451043.02</v>
      </c>
    </row>
    <row r="39" spans="1:2" x14ac:dyDescent="0.2">
      <c r="A39" s="3" t="s">
        <v>205</v>
      </c>
      <c r="B39" s="4">
        <v>502000</v>
      </c>
    </row>
    <row r="40" spans="1:2" x14ac:dyDescent="0.2">
      <c r="A40" s="3" t="s">
        <v>212</v>
      </c>
      <c r="B40" s="4">
        <v>114386.75</v>
      </c>
    </row>
    <row r="41" spans="1:2" x14ac:dyDescent="0.2">
      <c r="A41" s="3" t="s">
        <v>216</v>
      </c>
      <c r="B41" s="4">
        <v>1037787.21</v>
      </c>
    </row>
    <row r="42" spans="1:2" x14ac:dyDescent="0.2">
      <c r="A42" s="3" t="s">
        <v>226</v>
      </c>
      <c r="B42" s="4">
        <v>381936.45</v>
      </c>
    </row>
    <row r="43" spans="1:2" x14ac:dyDescent="0.2">
      <c r="A43" s="3" t="s">
        <v>231</v>
      </c>
      <c r="B43" s="4">
        <v>27467</v>
      </c>
    </row>
    <row r="44" spans="1:2" x14ac:dyDescent="0.2">
      <c r="A44" s="3" t="s">
        <v>234</v>
      </c>
      <c r="B44" s="4">
        <v>2149777.8199999998</v>
      </c>
    </row>
    <row r="45" spans="1:2" x14ac:dyDescent="0.2">
      <c r="A45" s="3" t="s">
        <v>246</v>
      </c>
      <c r="B45" s="4">
        <v>465753.25</v>
      </c>
    </row>
    <row r="46" spans="1:2" x14ac:dyDescent="0.2">
      <c r="A46" s="3" t="s">
        <v>254</v>
      </c>
      <c r="B46" s="4">
        <v>80000</v>
      </c>
    </row>
    <row r="47" spans="1:2" x14ac:dyDescent="0.2">
      <c r="A47" s="3" t="s">
        <v>259</v>
      </c>
      <c r="B47" s="4">
        <v>28000</v>
      </c>
    </row>
    <row r="48" spans="1:2" x14ac:dyDescent="0.2">
      <c r="A48" s="3" t="s">
        <v>264</v>
      </c>
      <c r="B48" s="4">
        <v>151116</v>
      </c>
    </row>
    <row r="49" spans="1:2" x14ac:dyDescent="0.2">
      <c r="A49" s="3" t="s">
        <v>269</v>
      </c>
      <c r="B49" s="4">
        <v>1380906.4100000001</v>
      </c>
    </row>
    <row r="50" spans="1:2" x14ac:dyDescent="0.2">
      <c r="A50" s="3" t="s">
        <v>276</v>
      </c>
      <c r="B50" s="4">
        <v>88036.76999999999</v>
      </c>
    </row>
    <row r="51" spans="1:2" x14ac:dyDescent="0.2">
      <c r="A51" s="3" t="s">
        <v>280</v>
      </c>
      <c r="B51" s="4">
        <v>267363.17000000004</v>
      </c>
    </row>
    <row r="52" spans="1:2" x14ac:dyDescent="0.2">
      <c r="A52" s="3" t="s">
        <v>287</v>
      </c>
      <c r="B52" s="4">
        <v>92250</v>
      </c>
    </row>
    <row r="53" spans="1:2" x14ac:dyDescent="0.2">
      <c r="A53" s="3" t="s">
        <v>290</v>
      </c>
      <c r="B53" s="4">
        <v>162942</v>
      </c>
    </row>
    <row r="54" spans="1:2" x14ac:dyDescent="0.2">
      <c r="A54" s="3" t="s">
        <v>294</v>
      </c>
      <c r="B54" s="4">
        <v>125000</v>
      </c>
    </row>
    <row r="55" spans="1:2" x14ac:dyDescent="0.2">
      <c r="A55" s="3" t="s">
        <v>298</v>
      </c>
      <c r="B55" s="4">
        <v>52275</v>
      </c>
    </row>
    <row r="56" spans="1:2" x14ac:dyDescent="0.2">
      <c r="A56" s="3" t="s">
        <v>301</v>
      </c>
      <c r="B56" s="4">
        <v>175000</v>
      </c>
    </row>
    <row r="57" spans="1:2" x14ac:dyDescent="0.2">
      <c r="A57" s="3" t="s">
        <v>304</v>
      </c>
      <c r="B57" s="4">
        <v>148844.47</v>
      </c>
    </row>
    <row r="58" spans="1:2" x14ac:dyDescent="0.2">
      <c r="A58" s="3" t="s">
        <v>314</v>
      </c>
      <c r="B58" s="4">
        <v>220607</v>
      </c>
    </row>
    <row r="59" spans="1:2" x14ac:dyDescent="0.2">
      <c r="A59" s="3" t="s">
        <v>321</v>
      </c>
      <c r="B59" s="4">
        <v>50000</v>
      </c>
    </row>
    <row r="60" spans="1:2" x14ac:dyDescent="0.2">
      <c r="A60" s="3" t="s">
        <v>324</v>
      </c>
      <c r="B60" s="4">
        <v>91398</v>
      </c>
    </row>
    <row r="61" spans="1:2" x14ac:dyDescent="0.2">
      <c r="A61" s="3" t="s">
        <v>328</v>
      </c>
      <c r="B61" s="4">
        <v>65000</v>
      </c>
    </row>
    <row r="62" spans="1:2" x14ac:dyDescent="0.2">
      <c r="A62" s="3" t="s">
        <v>331</v>
      </c>
      <c r="B62" s="4">
        <v>312064.86</v>
      </c>
    </row>
    <row r="63" spans="1:2" x14ac:dyDescent="0.2">
      <c r="A63" s="3" t="s">
        <v>338</v>
      </c>
      <c r="B63" s="4">
        <v>50000</v>
      </c>
    </row>
    <row r="64" spans="1:2" x14ac:dyDescent="0.2">
      <c r="A64" s="3" t="s">
        <v>341</v>
      </c>
      <c r="B64" s="4">
        <v>50000</v>
      </c>
    </row>
    <row r="65" spans="1:2" x14ac:dyDescent="0.2">
      <c r="A65" s="3" t="s">
        <v>344</v>
      </c>
      <c r="B65" s="4">
        <v>55000</v>
      </c>
    </row>
    <row r="66" spans="1:2" x14ac:dyDescent="0.2">
      <c r="A66" s="3" t="s">
        <v>347</v>
      </c>
      <c r="B66" s="4">
        <v>60000</v>
      </c>
    </row>
    <row r="67" spans="1:2" x14ac:dyDescent="0.2">
      <c r="A67" s="3" t="s">
        <v>350</v>
      </c>
      <c r="B67" s="4">
        <v>300000</v>
      </c>
    </row>
    <row r="68" spans="1:2" x14ac:dyDescent="0.2">
      <c r="A68" s="3" t="s">
        <v>356</v>
      </c>
      <c r="B68" s="4">
        <v>150000</v>
      </c>
    </row>
    <row r="69" spans="1:2" x14ac:dyDescent="0.2">
      <c r="A69" s="3" t="s">
        <v>359</v>
      </c>
      <c r="B69" s="4">
        <v>50000</v>
      </c>
    </row>
    <row r="70" spans="1:2" x14ac:dyDescent="0.2">
      <c r="A70" s="3" t="s">
        <v>362</v>
      </c>
      <c r="B70" s="4">
        <v>133059</v>
      </c>
    </row>
    <row r="71" spans="1:2" x14ac:dyDescent="0.2">
      <c r="A71" s="3" t="s">
        <v>366</v>
      </c>
      <c r="B71" s="4">
        <v>635144</v>
      </c>
    </row>
    <row r="72" spans="1:2" x14ac:dyDescent="0.2">
      <c r="A72" s="3" t="s">
        <v>373</v>
      </c>
      <c r="B72" s="4">
        <v>50000</v>
      </c>
    </row>
    <row r="73" spans="1:2" x14ac:dyDescent="0.2">
      <c r="A73" s="3" t="s">
        <v>376</v>
      </c>
      <c r="B73" s="4">
        <v>102500</v>
      </c>
    </row>
    <row r="74" spans="1:2" x14ac:dyDescent="0.2">
      <c r="A74" s="3" t="s">
        <v>379</v>
      </c>
      <c r="B74" s="4">
        <v>30000</v>
      </c>
    </row>
    <row r="75" spans="1:2" x14ac:dyDescent="0.2">
      <c r="A75" s="3" t="s">
        <v>382</v>
      </c>
      <c r="B75" s="4">
        <v>49852</v>
      </c>
    </row>
    <row r="76" spans="1:2" x14ac:dyDescent="0.2">
      <c r="A76" s="3" t="s">
        <v>385</v>
      </c>
      <c r="B76" s="4">
        <v>992439.5</v>
      </c>
    </row>
    <row r="77" spans="1:2" x14ac:dyDescent="0.2">
      <c r="A77" s="3" t="s">
        <v>392</v>
      </c>
      <c r="B77" s="4">
        <v>50000</v>
      </c>
    </row>
    <row r="78" spans="1:2" x14ac:dyDescent="0.2">
      <c r="A78" s="3" t="s">
        <v>395</v>
      </c>
      <c r="B78" s="4">
        <v>221750</v>
      </c>
    </row>
    <row r="79" spans="1:2" x14ac:dyDescent="0.2">
      <c r="A79" s="3" t="s">
        <v>398</v>
      </c>
      <c r="B79" s="4">
        <v>65000</v>
      </c>
    </row>
    <row r="80" spans="1:2" x14ac:dyDescent="0.2">
      <c r="A80" s="3" t="s">
        <v>401</v>
      </c>
      <c r="B80" s="4">
        <v>336115</v>
      </c>
    </row>
    <row r="81" spans="1:2" x14ac:dyDescent="0.2">
      <c r="A81" s="3" t="s">
        <v>408</v>
      </c>
      <c r="B81" s="4">
        <v>75000</v>
      </c>
    </row>
    <row r="82" spans="1:2" x14ac:dyDescent="0.2">
      <c r="A82" s="3" t="s">
        <v>411</v>
      </c>
      <c r="B82" s="4">
        <v>118420</v>
      </c>
    </row>
    <row r="83" spans="1:2" x14ac:dyDescent="0.2">
      <c r="A83" s="3" t="s">
        <v>416</v>
      </c>
      <c r="B83" s="4">
        <v>644922.67999999993</v>
      </c>
    </row>
    <row r="84" spans="1:2" x14ac:dyDescent="0.2">
      <c r="A84" s="3" t="s">
        <v>423</v>
      </c>
      <c r="B84" s="4">
        <v>46873</v>
      </c>
    </row>
    <row r="85" spans="1:2" x14ac:dyDescent="0.2">
      <c r="A85" s="3" t="s">
        <v>426</v>
      </c>
      <c r="B85" s="4">
        <v>205000</v>
      </c>
    </row>
    <row r="86" spans="1:2" x14ac:dyDescent="0.2">
      <c r="A86" s="3" t="s">
        <v>429</v>
      </c>
      <c r="B86" s="4">
        <v>50000</v>
      </c>
    </row>
    <row r="87" spans="1:2" x14ac:dyDescent="0.2">
      <c r="A87" s="3" t="s">
        <v>432</v>
      </c>
      <c r="B87" s="4">
        <v>651900.97</v>
      </c>
    </row>
    <row r="88" spans="1:2" x14ac:dyDescent="0.2">
      <c r="A88" s="3" t="s">
        <v>441</v>
      </c>
      <c r="B88" s="4">
        <v>100000</v>
      </c>
    </row>
    <row r="89" spans="1:2" x14ac:dyDescent="0.2">
      <c r="A89" s="3" t="s">
        <v>444</v>
      </c>
      <c r="B89" s="4">
        <v>50000</v>
      </c>
    </row>
    <row r="90" spans="1:2" x14ac:dyDescent="0.2">
      <c r="A90" s="3" t="s">
        <v>447</v>
      </c>
      <c r="B90" s="4">
        <v>2501055.46</v>
      </c>
    </row>
    <row r="91" spans="1:2" x14ac:dyDescent="0.2">
      <c r="A91" s="3" t="s">
        <v>460</v>
      </c>
      <c r="B91" s="4">
        <v>230000</v>
      </c>
    </row>
    <row r="92" spans="1:2" x14ac:dyDescent="0.2">
      <c r="A92" s="3" t="s">
        <v>463</v>
      </c>
      <c r="B92" s="4">
        <v>250000</v>
      </c>
    </row>
    <row r="93" spans="1:2" x14ac:dyDescent="0.2">
      <c r="A93" s="3" t="s">
        <v>466</v>
      </c>
      <c r="B93" s="4">
        <v>243300</v>
      </c>
    </row>
    <row r="94" spans="1:2" x14ac:dyDescent="0.2">
      <c r="A94" s="3" t="s">
        <v>470</v>
      </c>
      <c r="B94" s="4">
        <v>175000</v>
      </c>
    </row>
    <row r="95" spans="1:2" x14ac:dyDescent="0.2">
      <c r="A95" s="3" t="s">
        <v>476</v>
      </c>
      <c r="B95" s="4">
        <v>80622</v>
      </c>
    </row>
    <row r="96" spans="1:2" x14ac:dyDescent="0.2">
      <c r="A96" s="3" t="s">
        <v>479</v>
      </c>
      <c r="B96" s="4">
        <v>31149.35</v>
      </c>
    </row>
    <row r="97" spans="1:2" x14ac:dyDescent="0.2">
      <c r="A97" s="3" t="s">
        <v>483</v>
      </c>
      <c r="B97" s="4">
        <v>45000</v>
      </c>
    </row>
    <row r="98" spans="1:2" x14ac:dyDescent="0.2">
      <c r="A98" s="3" t="s">
        <v>486</v>
      </c>
      <c r="B98" s="4">
        <v>82900</v>
      </c>
    </row>
    <row r="99" spans="1:2" x14ac:dyDescent="0.2">
      <c r="A99" s="3" t="s">
        <v>491</v>
      </c>
      <c r="B99" s="4">
        <v>228711.83000000002</v>
      </c>
    </row>
    <row r="100" spans="1:2" x14ac:dyDescent="0.2">
      <c r="A100" s="3" t="s">
        <v>497</v>
      </c>
      <c r="B100" s="4">
        <v>340000</v>
      </c>
    </row>
    <row r="101" spans="1:2" x14ac:dyDescent="0.2">
      <c r="A101" s="3" t="s">
        <v>505</v>
      </c>
      <c r="B101" s="4">
        <v>141522</v>
      </c>
    </row>
    <row r="102" spans="1:2" x14ac:dyDescent="0.2">
      <c r="A102" s="3" t="s">
        <v>510</v>
      </c>
      <c r="B102" s="4">
        <v>106334</v>
      </c>
    </row>
    <row r="103" spans="1:2" x14ac:dyDescent="0.2">
      <c r="A103" s="3" t="s">
        <v>513</v>
      </c>
      <c r="B103" s="4">
        <v>14393.15</v>
      </c>
    </row>
    <row r="104" spans="1:2" x14ac:dyDescent="0.2">
      <c r="A104" s="3" t="s">
        <v>516</v>
      </c>
      <c r="B104" s="4">
        <v>85000</v>
      </c>
    </row>
    <row r="105" spans="1:2" x14ac:dyDescent="0.2">
      <c r="A105" s="3" t="s">
        <v>520</v>
      </c>
      <c r="B105" s="4">
        <v>61000</v>
      </c>
    </row>
    <row r="106" spans="1:2" x14ac:dyDescent="0.2">
      <c r="A106" s="3" t="s">
        <v>524</v>
      </c>
      <c r="B106" s="4">
        <v>50000</v>
      </c>
    </row>
    <row r="107" spans="1:2" x14ac:dyDescent="0.2">
      <c r="A107" s="3" t="s">
        <v>527</v>
      </c>
      <c r="B107" s="4">
        <v>837000</v>
      </c>
    </row>
    <row r="108" spans="1:2" x14ac:dyDescent="0.2">
      <c r="A108" s="3" t="s">
        <v>536</v>
      </c>
      <c r="B108" s="4">
        <v>238587</v>
      </c>
    </row>
    <row r="109" spans="1:2" x14ac:dyDescent="0.2">
      <c r="A109" s="3" t="s">
        <v>543</v>
      </c>
      <c r="B109" s="4">
        <v>85859</v>
      </c>
    </row>
    <row r="110" spans="1:2" x14ac:dyDescent="0.2">
      <c r="A110" s="3" t="s">
        <v>546</v>
      </c>
      <c r="B110" s="4">
        <v>607785.11</v>
      </c>
    </row>
    <row r="111" spans="1:2" x14ac:dyDescent="0.2">
      <c r="A111" s="3" t="s">
        <v>557</v>
      </c>
      <c r="B111" s="4">
        <v>80000</v>
      </c>
    </row>
    <row r="112" spans="1:2" x14ac:dyDescent="0.2">
      <c r="A112" s="3" t="s">
        <v>561</v>
      </c>
      <c r="B112" s="4">
        <v>165000</v>
      </c>
    </row>
    <row r="113" spans="1:2" x14ac:dyDescent="0.2">
      <c r="A113" s="3" t="s">
        <v>564</v>
      </c>
      <c r="B113" s="4">
        <v>1844941.32</v>
      </c>
    </row>
    <row r="114" spans="1:2" x14ac:dyDescent="0.2">
      <c r="A114" s="3" t="s">
        <v>573</v>
      </c>
      <c r="B114" s="4">
        <v>119141</v>
      </c>
    </row>
    <row r="115" spans="1:2" x14ac:dyDescent="0.2">
      <c r="A115" s="3" t="s">
        <v>576</v>
      </c>
      <c r="B115" s="4">
        <v>50000</v>
      </c>
    </row>
    <row r="116" spans="1:2" x14ac:dyDescent="0.2">
      <c r="A116" s="3" t="s">
        <v>579</v>
      </c>
      <c r="B116" s="4">
        <v>81111</v>
      </c>
    </row>
    <row r="117" spans="1:2" x14ac:dyDescent="0.2">
      <c r="A117" s="3" t="s">
        <v>582</v>
      </c>
      <c r="B117" s="4">
        <v>85800</v>
      </c>
    </row>
    <row r="118" spans="1:2" x14ac:dyDescent="0.2">
      <c r="A118" s="3" t="s">
        <v>585</v>
      </c>
      <c r="B118" s="4">
        <v>1056520</v>
      </c>
    </row>
    <row r="119" spans="1:2" x14ac:dyDescent="0.2">
      <c r="A119" s="3" t="s">
        <v>592</v>
      </c>
      <c r="B119" s="4">
        <v>127090</v>
      </c>
    </row>
    <row r="120" spans="1:2" x14ac:dyDescent="0.2">
      <c r="A120" s="3" t="s">
        <v>596</v>
      </c>
      <c r="B120" s="4">
        <v>50000</v>
      </c>
    </row>
    <row r="121" spans="1:2" x14ac:dyDescent="0.2">
      <c r="A121" s="3" t="s">
        <v>599</v>
      </c>
      <c r="B121" s="4">
        <v>313635.78000000003</v>
      </c>
    </row>
    <row r="122" spans="1:2" x14ac:dyDescent="0.2">
      <c r="A122" s="3" t="s">
        <v>607</v>
      </c>
      <c r="B122" s="4">
        <v>146198</v>
      </c>
    </row>
    <row r="123" spans="1:2" x14ac:dyDescent="0.2">
      <c r="A123" s="3" t="s">
        <v>613</v>
      </c>
      <c r="B123" s="4">
        <v>402605.95</v>
      </c>
    </row>
    <row r="124" spans="1:2" x14ac:dyDescent="0.2">
      <c r="A124" s="3" t="s">
        <v>616</v>
      </c>
      <c r="B124" s="4">
        <v>562316.91999999993</v>
      </c>
    </row>
    <row r="125" spans="1:2" x14ac:dyDescent="0.2">
      <c r="A125" s="3" t="s">
        <v>625</v>
      </c>
      <c r="B125" s="4">
        <v>80000</v>
      </c>
    </row>
    <row r="126" spans="1:2" x14ac:dyDescent="0.2">
      <c r="A126" s="3" t="s">
        <v>628</v>
      </c>
      <c r="B126" s="4">
        <v>361208.47</v>
      </c>
    </row>
    <row r="127" spans="1:2" x14ac:dyDescent="0.2">
      <c r="A127" s="3" t="s">
        <v>636</v>
      </c>
      <c r="B127" s="4">
        <v>250000</v>
      </c>
    </row>
    <row r="128" spans="1:2" x14ac:dyDescent="0.2">
      <c r="A128" s="3" t="s">
        <v>640</v>
      </c>
      <c r="B128" s="4">
        <v>113833.04</v>
      </c>
    </row>
    <row r="129" spans="1:2" x14ac:dyDescent="0.2">
      <c r="A129" s="3" t="s">
        <v>645</v>
      </c>
      <c r="B129" s="4">
        <v>230442.66999999998</v>
      </c>
    </row>
    <row r="130" spans="1:2" x14ac:dyDescent="0.2">
      <c r="A130" s="3" t="s">
        <v>652</v>
      </c>
      <c r="B130" s="4">
        <v>773387</v>
      </c>
    </row>
    <row r="131" spans="1:2" x14ac:dyDescent="0.2">
      <c r="A131" s="3" t="s">
        <v>658</v>
      </c>
      <c r="B131" s="4">
        <v>100000</v>
      </c>
    </row>
    <row r="132" spans="1:2" x14ac:dyDescent="0.2">
      <c r="A132" s="3" t="s">
        <v>662</v>
      </c>
      <c r="B132" s="4">
        <v>78433</v>
      </c>
    </row>
    <row r="133" spans="1:2" x14ac:dyDescent="0.2">
      <c r="A133" s="3" t="s">
        <v>667</v>
      </c>
      <c r="B133" s="4">
        <v>39634065.160000004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0"/>
  <sheetViews>
    <sheetView topLeftCell="A133" workbookViewId="0">
      <selection activeCell="A2" sqref="A2:A130"/>
    </sheetView>
  </sheetViews>
  <sheetFormatPr baseColWidth="10" defaultRowHeight="16" x14ac:dyDescent="0.2"/>
  <cols>
    <col min="1" max="1" width="23.33203125" customWidth="1"/>
  </cols>
  <sheetData>
    <row r="1" spans="1:2" x14ac:dyDescent="0.2">
      <c r="A1" t="s">
        <v>669</v>
      </c>
      <c r="B1" t="s">
        <v>670</v>
      </c>
    </row>
    <row r="2" spans="1:2" x14ac:dyDescent="0.2">
      <c r="A2" t="s">
        <v>117</v>
      </c>
      <c r="B2">
        <v>3970574.6100000003</v>
      </c>
    </row>
    <row r="3" spans="1:2" x14ac:dyDescent="0.2">
      <c r="A3" t="s">
        <v>447</v>
      </c>
      <c r="B3">
        <v>2501055.46</v>
      </c>
    </row>
    <row r="4" spans="1:2" x14ac:dyDescent="0.2">
      <c r="A4" t="s">
        <v>234</v>
      </c>
      <c r="B4">
        <v>2149777.8199999998</v>
      </c>
    </row>
    <row r="5" spans="1:2" x14ac:dyDescent="0.2">
      <c r="A5" t="s">
        <v>564</v>
      </c>
      <c r="B5">
        <v>1844941.32</v>
      </c>
    </row>
    <row r="6" spans="1:2" x14ac:dyDescent="0.2">
      <c r="A6" t="s">
        <v>135</v>
      </c>
      <c r="B6">
        <v>1475457.64</v>
      </c>
    </row>
    <row r="7" spans="1:2" x14ac:dyDescent="0.2">
      <c r="A7" t="s">
        <v>269</v>
      </c>
      <c r="B7">
        <v>1380906.4100000001</v>
      </c>
    </row>
    <row r="8" spans="1:2" x14ac:dyDescent="0.2">
      <c r="A8" t="s">
        <v>585</v>
      </c>
      <c r="B8">
        <v>1056520</v>
      </c>
    </row>
    <row r="9" spans="1:2" x14ac:dyDescent="0.2">
      <c r="A9" t="s">
        <v>216</v>
      </c>
      <c r="B9">
        <v>1037787.21</v>
      </c>
    </row>
    <row r="10" spans="1:2" x14ac:dyDescent="0.2">
      <c r="A10" t="s">
        <v>385</v>
      </c>
      <c r="B10">
        <v>992439.5</v>
      </c>
    </row>
    <row r="11" spans="1:2" x14ac:dyDescent="0.2">
      <c r="A11" t="s">
        <v>70</v>
      </c>
      <c r="B11">
        <v>956056.61</v>
      </c>
    </row>
    <row r="12" spans="1:2" x14ac:dyDescent="0.2">
      <c r="A12" t="s">
        <v>527</v>
      </c>
      <c r="B12">
        <v>837000</v>
      </c>
    </row>
    <row r="13" spans="1:2" x14ac:dyDescent="0.2">
      <c r="A13" t="s">
        <v>652</v>
      </c>
      <c r="B13">
        <v>773387</v>
      </c>
    </row>
    <row r="14" spans="1:2" x14ac:dyDescent="0.2">
      <c r="A14" t="s">
        <v>432</v>
      </c>
      <c r="B14">
        <v>651900.97</v>
      </c>
    </row>
    <row r="15" spans="1:2" x14ac:dyDescent="0.2">
      <c r="A15" t="s">
        <v>416</v>
      </c>
      <c r="B15">
        <v>644922.67999999993</v>
      </c>
    </row>
    <row r="16" spans="1:2" x14ac:dyDescent="0.2">
      <c r="A16" t="s">
        <v>366</v>
      </c>
      <c r="B16">
        <v>635144</v>
      </c>
    </row>
    <row r="17" spans="1:2" x14ac:dyDescent="0.2">
      <c r="A17" t="s">
        <v>546</v>
      </c>
      <c r="B17">
        <v>607785.11</v>
      </c>
    </row>
    <row r="18" spans="1:2" x14ac:dyDescent="0.2">
      <c r="A18" t="s">
        <v>166</v>
      </c>
      <c r="B18">
        <v>563000</v>
      </c>
    </row>
    <row r="19" spans="1:2" x14ac:dyDescent="0.2">
      <c r="A19" t="s">
        <v>616</v>
      </c>
      <c r="B19">
        <v>562316.91999999993</v>
      </c>
    </row>
    <row r="20" spans="1:2" x14ac:dyDescent="0.2">
      <c r="A20" t="s">
        <v>205</v>
      </c>
      <c r="B20">
        <v>502000</v>
      </c>
    </row>
    <row r="21" spans="1:2" x14ac:dyDescent="0.2">
      <c r="A21" t="s">
        <v>151</v>
      </c>
      <c r="B21">
        <v>484130.67000000004</v>
      </c>
    </row>
    <row r="22" spans="1:2" x14ac:dyDescent="0.2">
      <c r="A22" t="s">
        <v>246</v>
      </c>
      <c r="B22">
        <v>465753.25</v>
      </c>
    </row>
    <row r="23" spans="1:2" x14ac:dyDescent="0.2">
      <c r="A23" t="s">
        <v>196</v>
      </c>
      <c r="B23">
        <v>451043.02</v>
      </c>
    </row>
    <row r="24" spans="1:2" x14ac:dyDescent="0.2">
      <c r="A24" t="s">
        <v>13</v>
      </c>
      <c r="B24">
        <v>444426</v>
      </c>
    </row>
    <row r="25" spans="1:2" x14ac:dyDescent="0.2">
      <c r="A25" t="s">
        <v>613</v>
      </c>
      <c r="B25">
        <v>402605.95</v>
      </c>
    </row>
    <row r="26" spans="1:2" x14ac:dyDescent="0.2">
      <c r="A26" t="s">
        <v>130</v>
      </c>
      <c r="B26">
        <v>397897</v>
      </c>
    </row>
    <row r="27" spans="1:2" x14ac:dyDescent="0.2">
      <c r="A27" t="s">
        <v>103</v>
      </c>
      <c r="B27">
        <v>383418</v>
      </c>
    </row>
    <row r="28" spans="1:2" x14ac:dyDescent="0.2">
      <c r="A28" t="s">
        <v>226</v>
      </c>
      <c r="B28">
        <v>381936.45</v>
      </c>
    </row>
    <row r="29" spans="1:2" x14ac:dyDescent="0.2">
      <c r="A29" t="s">
        <v>628</v>
      </c>
      <c r="B29">
        <v>361208.47</v>
      </c>
    </row>
    <row r="30" spans="1:2" x14ac:dyDescent="0.2">
      <c r="A30" t="s">
        <v>88</v>
      </c>
      <c r="B30">
        <v>358929.68</v>
      </c>
    </row>
    <row r="31" spans="1:2" x14ac:dyDescent="0.2">
      <c r="A31" t="s">
        <v>497</v>
      </c>
      <c r="B31">
        <v>340000</v>
      </c>
    </row>
    <row r="32" spans="1:2" x14ac:dyDescent="0.2">
      <c r="A32" t="s">
        <v>401</v>
      </c>
      <c r="B32">
        <v>336115</v>
      </c>
    </row>
    <row r="33" spans="1:2" x14ac:dyDescent="0.2">
      <c r="A33" t="s">
        <v>599</v>
      </c>
      <c r="B33">
        <v>313635.78000000003</v>
      </c>
    </row>
    <row r="34" spans="1:2" x14ac:dyDescent="0.2">
      <c r="A34" t="s">
        <v>331</v>
      </c>
      <c r="B34">
        <v>312064.86</v>
      </c>
    </row>
    <row r="35" spans="1:2" x14ac:dyDescent="0.2">
      <c r="A35" t="s">
        <v>350</v>
      </c>
      <c r="B35">
        <v>300000</v>
      </c>
    </row>
    <row r="36" spans="1:2" x14ac:dyDescent="0.2">
      <c r="A36" t="s">
        <v>24</v>
      </c>
      <c r="B36">
        <v>293000</v>
      </c>
    </row>
    <row r="37" spans="1:2" x14ac:dyDescent="0.2">
      <c r="A37" t="s">
        <v>85</v>
      </c>
      <c r="B37">
        <v>290178</v>
      </c>
    </row>
    <row r="38" spans="1:2" x14ac:dyDescent="0.2">
      <c r="A38" t="s">
        <v>280</v>
      </c>
      <c r="B38">
        <v>267363.17000000004</v>
      </c>
    </row>
    <row r="39" spans="1:2" x14ac:dyDescent="0.2">
      <c r="A39" t="s">
        <v>463</v>
      </c>
      <c r="B39">
        <v>250000</v>
      </c>
    </row>
    <row r="40" spans="1:2" x14ac:dyDescent="0.2">
      <c r="A40" t="s">
        <v>636</v>
      </c>
      <c r="B40">
        <v>250000</v>
      </c>
    </row>
    <row r="41" spans="1:2" x14ac:dyDescent="0.2">
      <c r="A41" t="s">
        <v>466</v>
      </c>
      <c r="B41">
        <v>243300</v>
      </c>
    </row>
    <row r="42" spans="1:2" x14ac:dyDescent="0.2">
      <c r="A42" t="s">
        <v>536</v>
      </c>
      <c r="B42">
        <v>238587</v>
      </c>
    </row>
    <row r="43" spans="1:2" x14ac:dyDescent="0.2">
      <c r="A43" t="s">
        <v>645</v>
      </c>
      <c r="B43">
        <v>230442.66999999998</v>
      </c>
    </row>
    <row r="44" spans="1:2" x14ac:dyDescent="0.2">
      <c r="A44" t="s">
        <v>113</v>
      </c>
      <c r="B44">
        <v>230000</v>
      </c>
    </row>
    <row r="45" spans="1:2" x14ac:dyDescent="0.2">
      <c r="A45" t="s">
        <v>460</v>
      </c>
      <c r="B45">
        <v>230000</v>
      </c>
    </row>
    <row r="46" spans="1:2" x14ac:dyDescent="0.2">
      <c r="A46" t="s">
        <v>491</v>
      </c>
      <c r="B46">
        <v>228711.83000000002</v>
      </c>
    </row>
    <row r="47" spans="1:2" x14ac:dyDescent="0.2">
      <c r="A47" t="s">
        <v>395</v>
      </c>
      <c r="B47">
        <v>221750</v>
      </c>
    </row>
    <row r="48" spans="1:2" x14ac:dyDescent="0.2">
      <c r="A48" t="s">
        <v>314</v>
      </c>
      <c r="B48">
        <v>220607</v>
      </c>
    </row>
    <row r="49" spans="1:2" x14ac:dyDescent="0.2">
      <c r="A49" t="s">
        <v>34</v>
      </c>
      <c r="B49">
        <v>216662</v>
      </c>
    </row>
    <row r="50" spans="1:2" x14ac:dyDescent="0.2">
      <c r="A50" t="s">
        <v>426</v>
      </c>
      <c r="B50">
        <v>205000</v>
      </c>
    </row>
    <row r="51" spans="1:2" x14ac:dyDescent="0.2">
      <c r="A51" t="s">
        <v>82</v>
      </c>
      <c r="B51">
        <v>200000</v>
      </c>
    </row>
    <row r="52" spans="1:2" x14ac:dyDescent="0.2">
      <c r="A52" t="s">
        <v>46</v>
      </c>
      <c r="B52">
        <v>198693.63</v>
      </c>
    </row>
    <row r="53" spans="1:2" x14ac:dyDescent="0.2">
      <c r="A53" t="s">
        <v>96</v>
      </c>
      <c r="B53">
        <v>190817</v>
      </c>
    </row>
    <row r="54" spans="1:2" x14ac:dyDescent="0.2">
      <c r="A54" t="s">
        <v>41</v>
      </c>
      <c r="B54">
        <v>176196</v>
      </c>
    </row>
    <row r="55" spans="1:2" x14ac:dyDescent="0.2">
      <c r="A55" t="s">
        <v>301</v>
      </c>
      <c r="B55">
        <v>175000</v>
      </c>
    </row>
    <row r="56" spans="1:2" x14ac:dyDescent="0.2">
      <c r="A56" t="s">
        <v>470</v>
      </c>
      <c r="B56">
        <v>175000</v>
      </c>
    </row>
    <row r="57" spans="1:2" x14ac:dyDescent="0.2">
      <c r="A57" t="s">
        <v>181</v>
      </c>
      <c r="B57">
        <v>174790</v>
      </c>
    </row>
    <row r="58" spans="1:2" x14ac:dyDescent="0.2">
      <c r="A58" t="s">
        <v>561</v>
      </c>
      <c r="B58">
        <v>165000</v>
      </c>
    </row>
    <row r="59" spans="1:2" x14ac:dyDescent="0.2">
      <c r="A59" t="s">
        <v>290</v>
      </c>
      <c r="B59">
        <v>162942</v>
      </c>
    </row>
    <row r="60" spans="1:2" x14ac:dyDescent="0.2">
      <c r="A60" t="s">
        <v>174</v>
      </c>
      <c r="B60">
        <v>160727.71</v>
      </c>
    </row>
    <row r="61" spans="1:2" x14ac:dyDescent="0.2">
      <c r="A61" t="s">
        <v>264</v>
      </c>
      <c r="B61">
        <v>151116</v>
      </c>
    </row>
    <row r="62" spans="1:2" x14ac:dyDescent="0.2">
      <c r="A62" t="s">
        <v>356</v>
      </c>
      <c r="B62">
        <v>150000</v>
      </c>
    </row>
    <row r="63" spans="1:2" x14ac:dyDescent="0.2">
      <c r="A63" t="s">
        <v>304</v>
      </c>
      <c r="B63">
        <v>148844.47</v>
      </c>
    </row>
    <row r="64" spans="1:2" x14ac:dyDescent="0.2">
      <c r="A64" t="s">
        <v>607</v>
      </c>
      <c r="B64">
        <v>146198</v>
      </c>
    </row>
    <row r="65" spans="1:2" x14ac:dyDescent="0.2">
      <c r="A65" t="s">
        <v>505</v>
      </c>
      <c r="B65">
        <v>141522</v>
      </c>
    </row>
    <row r="66" spans="1:2" x14ac:dyDescent="0.2">
      <c r="A66" t="s">
        <v>19</v>
      </c>
      <c r="B66">
        <v>133250</v>
      </c>
    </row>
    <row r="67" spans="1:2" x14ac:dyDescent="0.2">
      <c r="A67" t="s">
        <v>362</v>
      </c>
      <c r="B67">
        <v>133059</v>
      </c>
    </row>
    <row r="68" spans="1:2" x14ac:dyDescent="0.2">
      <c r="A68" t="s">
        <v>592</v>
      </c>
      <c r="B68">
        <v>127090</v>
      </c>
    </row>
    <row r="69" spans="1:2" x14ac:dyDescent="0.2">
      <c r="A69" t="s">
        <v>294</v>
      </c>
      <c r="B69">
        <v>125000</v>
      </c>
    </row>
    <row r="70" spans="1:2" x14ac:dyDescent="0.2">
      <c r="A70" t="s">
        <v>573</v>
      </c>
      <c r="B70">
        <v>119141</v>
      </c>
    </row>
    <row r="71" spans="1:2" x14ac:dyDescent="0.2">
      <c r="A71" t="s">
        <v>411</v>
      </c>
      <c r="B71">
        <v>118420</v>
      </c>
    </row>
    <row r="72" spans="1:2" x14ac:dyDescent="0.2">
      <c r="A72" t="s">
        <v>212</v>
      </c>
      <c r="B72">
        <v>114386.75</v>
      </c>
    </row>
    <row r="73" spans="1:2" x14ac:dyDescent="0.2">
      <c r="A73" t="s">
        <v>640</v>
      </c>
      <c r="B73">
        <v>113833.04</v>
      </c>
    </row>
    <row r="74" spans="1:2" x14ac:dyDescent="0.2">
      <c r="A74" t="s">
        <v>510</v>
      </c>
      <c r="B74">
        <v>106334</v>
      </c>
    </row>
    <row r="75" spans="1:2" x14ac:dyDescent="0.2">
      <c r="A75" t="s">
        <v>376</v>
      </c>
      <c r="B75">
        <v>102500</v>
      </c>
    </row>
    <row r="76" spans="1:2" x14ac:dyDescent="0.2">
      <c r="A76" t="s">
        <v>62</v>
      </c>
      <c r="B76">
        <v>102000</v>
      </c>
    </row>
    <row r="77" spans="1:2" x14ac:dyDescent="0.2">
      <c r="A77" t="s">
        <v>110</v>
      </c>
      <c r="B77">
        <v>100000</v>
      </c>
    </row>
    <row r="78" spans="1:2" x14ac:dyDescent="0.2">
      <c r="A78" t="s">
        <v>441</v>
      </c>
      <c r="B78">
        <v>100000</v>
      </c>
    </row>
    <row r="79" spans="1:2" x14ac:dyDescent="0.2">
      <c r="A79" t="s">
        <v>658</v>
      </c>
      <c r="B79">
        <v>100000</v>
      </c>
    </row>
    <row r="80" spans="1:2" x14ac:dyDescent="0.2">
      <c r="A80" t="s">
        <v>59</v>
      </c>
      <c r="B80">
        <v>99986.4</v>
      </c>
    </row>
    <row r="81" spans="1:2" x14ac:dyDescent="0.2">
      <c r="A81" t="s">
        <v>287</v>
      </c>
      <c r="B81">
        <v>92250</v>
      </c>
    </row>
    <row r="82" spans="1:2" x14ac:dyDescent="0.2">
      <c r="A82" t="s">
        <v>184</v>
      </c>
      <c r="B82">
        <v>91680</v>
      </c>
    </row>
    <row r="83" spans="1:2" x14ac:dyDescent="0.2">
      <c r="A83" t="s">
        <v>324</v>
      </c>
      <c r="B83">
        <v>91398</v>
      </c>
    </row>
    <row r="84" spans="1:2" x14ac:dyDescent="0.2">
      <c r="A84" t="s">
        <v>276</v>
      </c>
      <c r="B84">
        <v>88036.76999999999</v>
      </c>
    </row>
    <row r="85" spans="1:2" x14ac:dyDescent="0.2">
      <c r="A85" t="s">
        <v>543</v>
      </c>
      <c r="B85">
        <v>85859</v>
      </c>
    </row>
    <row r="86" spans="1:2" x14ac:dyDescent="0.2">
      <c r="A86" t="s">
        <v>582</v>
      </c>
      <c r="B86">
        <v>85800</v>
      </c>
    </row>
    <row r="87" spans="1:2" x14ac:dyDescent="0.2">
      <c r="A87" t="s">
        <v>516</v>
      </c>
      <c r="B87">
        <v>85000</v>
      </c>
    </row>
    <row r="88" spans="1:2" x14ac:dyDescent="0.2">
      <c r="A88" t="s">
        <v>486</v>
      </c>
      <c r="B88">
        <v>82900</v>
      </c>
    </row>
    <row r="89" spans="1:2" x14ac:dyDescent="0.2">
      <c r="A89" t="s">
        <v>579</v>
      </c>
      <c r="B89">
        <v>81111</v>
      </c>
    </row>
    <row r="90" spans="1:2" x14ac:dyDescent="0.2">
      <c r="A90" t="s">
        <v>476</v>
      </c>
      <c r="B90">
        <v>80622</v>
      </c>
    </row>
    <row r="91" spans="1:2" x14ac:dyDescent="0.2">
      <c r="A91" t="s">
        <v>254</v>
      </c>
      <c r="B91">
        <v>80000</v>
      </c>
    </row>
    <row r="92" spans="1:2" x14ac:dyDescent="0.2">
      <c r="A92" t="s">
        <v>557</v>
      </c>
      <c r="B92">
        <v>80000</v>
      </c>
    </row>
    <row r="93" spans="1:2" x14ac:dyDescent="0.2">
      <c r="A93" t="s">
        <v>625</v>
      </c>
      <c r="B93">
        <v>80000</v>
      </c>
    </row>
    <row r="94" spans="1:2" x14ac:dyDescent="0.2">
      <c r="A94" t="s">
        <v>662</v>
      </c>
      <c r="B94">
        <v>78433</v>
      </c>
    </row>
    <row r="95" spans="1:2" x14ac:dyDescent="0.2">
      <c r="A95" t="s">
        <v>28</v>
      </c>
      <c r="B95">
        <v>75609.39</v>
      </c>
    </row>
    <row r="96" spans="1:2" x14ac:dyDescent="0.2">
      <c r="A96" t="s">
        <v>408</v>
      </c>
      <c r="B96">
        <v>75000</v>
      </c>
    </row>
    <row r="97" spans="1:2" x14ac:dyDescent="0.2">
      <c r="A97" t="s">
        <v>141</v>
      </c>
      <c r="B97">
        <v>65000</v>
      </c>
    </row>
    <row r="98" spans="1:2" x14ac:dyDescent="0.2">
      <c r="A98" t="s">
        <v>328</v>
      </c>
      <c r="B98">
        <v>65000</v>
      </c>
    </row>
    <row r="99" spans="1:2" x14ac:dyDescent="0.2">
      <c r="A99" t="s">
        <v>398</v>
      </c>
      <c r="B99">
        <v>65000</v>
      </c>
    </row>
    <row r="100" spans="1:2" x14ac:dyDescent="0.2">
      <c r="A100" t="s">
        <v>520</v>
      </c>
      <c r="B100">
        <v>61000</v>
      </c>
    </row>
    <row r="101" spans="1:2" x14ac:dyDescent="0.2">
      <c r="A101" t="s">
        <v>347</v>
      </c>
      <c r="B101">
        <v>60000</v>
      </c>
    </row>
    <row r="102" spans="1:2" x14ac:dyDescent="0.2">
      <c r="A102" t="s">
        <v>344</v>
      </c>
      <c r="B102">
        <v>55000</v>
      </c>
    </row>
    <row r="103" spans="1:2" x14ac:dyDescent="0.2">
      <c r="A103" t="s">
        <v>148</v>
      </c>
      <c r="B103">
        <v>52723.7</v>
      </c>
    </row>
    <row r="104" spans="1:2" x14ac:dyDescent="0.2">
      <c r="A104" t="s">
        <v>298</v>
      </c>
      <c r="B104">
        <v>52275</v>
      </c>
    </row>
    <row r="105" spans="1:2" x14ac:dyDescent="0.2">
      <c r="A105" t="s">
        <v>193</v>
      </c>
      <c r="B105">
        <v>50603</v>
      </c>
    </row>
    <row r="106" spans="1:2" x14ac:dyDescent="0.2">
      <c r="A106" t="s">
        <v>38</v>
      </c>
      <c r="B106">
        <v>50000</v>
      </c>
    </row>
    <row r="107" spans="1:2" x14ac:dyDescent="0.2">
      <c r="A107" t="s">
        <v>66</v>
      </c>
      <c r="B107">
        <v>50000</v>
      </c>
    </row>
    <row r="108" spans="1:2" x14ac:dyDescent="0.2">
      <c r="A108" t="s">
        <v>321</v>
      </c>
      <c r="B108">
        <v>50000</v>
      </c>
    </row>
    <row r="109" spans="1:2" x14ac:dyDescent="0.2">
      <c r="A109" t="s">
        <v>338</v>
      </c>
      <c r="B109">
        <v>50000</v>
      </c>
    </row>
    <row r="110" spans="1:2" x14ac:dyDescent="0.2">
      <c r="A110" t="s">
        <v>341</v>
      </c>
      <c r="B110">
        <v>50000</v>
      </c>
    </row>
    <row r="111" spans="1:2" x14ac:dyDescent="0.2">
      <c r="A111" t="s">
        <v>359</v>
      </c>
      <c r="B111">
        <v>50000</v>
      </c>
    </row>
    <row r="112" spans="1:2" x14ac:dyDescent="0.2">
      <c r="A112" t="s">
        <v>373</v>
      </c>
      <c r="B112">
        <v>50000</v>
      </c>
    </row>
    <row r="113" spans="1:2" x14ac:dyDescent="0.2">
      <c r="A113" t="s">
        <v>392</v>
      </c>
      <c r="B113">
        <v>50000</v>
      </c>
    </row>
    <row r="114" spans="1:2" x14ac:dyDescent="0.2">
      <c r="A114" t="s">
        <v>429</v>
      </c>
      <c r="B114">
        <v>50000</v>
      </c>
    </row>
    <row r="115" spans="1:2" x14ac:dyDescent="0.2">
      <c r="A115" t="s">
        <v>444</v>
      </c>
      <c r="B115">
        <v>50000</v>
      </c>
    </row>
    <row r="116" spans="1:2" x14ac:dyDescent="0.2">
      <c r="A116" t="s">
        <v>524</v>
      </c>
      <c r="B116">
        <v>50000</v>
      </c>
    </row>
    <row r="117" spans="1:2" x14ac:dyDescent="0.2">
      <c r="A117" t="s">
        <v>576</v>
      </c>
      <c r="B117">
        <v>50000</v>
      </c>
    </row>
    <row r="118" spans="1:2" x14ac:dyDescent="0.2">
      <c r="A118" t="s">
        <v>596</v>
      </c>
      <c r="B118">
        <v>50000</v>
      </c>
    </row>
    <row r="119" spans="1:2" x14ac:dyDescent="0.2">
      <c r="A119" t="s">
        <v>382</v>
      </c>
      <c r="B119">
        <v>49852</v>
      </c>
    </row>
    <row r="120" spans="1:2" x14ac:dyDescent="0.2">
      <c r="A120" t="s">
        <v>189</v>
      </c>
      <c r="B120">
        <v>48809.74</v>
      </c>
    </row>
    <row r="121" spans="1:2" x14ac:dyDescent="0.2">
      <c r="A121" t="s">
        <v>423</v>
      </c>
      <c r="B121">
        <v>46873</v>
      </c>
    </row>
    <row r="122" spans="1:2" x14ac:dyDescent="0.2">
      <c r="A122" t="s">
        <v>483</v>
      </c>
      <c r="B122">
        <v>45000</v>
      </c>
    </row>
    <row r="123" spans="1:2" x14ac:dyDescent="0.2">
      <c r="A123" t="s">
        <v>99</v>
      </c>
      <c r="B123">
        <v>40000</v>
      </c>
    </row>
    <row r="124" spans="1:2" x14ac:dyDescent="0.2">
      <c r="A124" t="s">
        <v>171</v>
      </c>
      <c r="B124">
        <v>38634</v>
      </c>
    </row>
    <row r="125" spans="1:2" x14ac:dyDescent="0.2">
      <c r="A125" t="s">
        <v>479</v>
      </c>
      <c r="B125">
        <v>31149.35</v>
      </c>
    </row>
    <row r="126" spans="1:2" x14ac:dyDescent="0.2">
      <c r="A126" t="s">
        <v>379</v>
      </c>
      <c r="B126">
        <v>30000</v>
      </c>
    </row>
    <row r="127" spans="1:2" x14ac:dyDescent="0.2">
      <c r="A127" t="s">
        <v>259</v>
      </c>
      <c r="B127">
        <v>28000</v>
      </c>
    </row>
    <row r="128" spans="1:2" x14ac:dyDescent="0.2">
      <c r="A128" t="s">
        <v>231</v>
      </c>
      <c r="B128">
        <v>27467</v>
      </c>
    </row>
    <row r="129" spans="1:2" x14ac:dyDescent="0.2">
      <c r="A129" t="s">
        <v>144</v>
      </c>
      <c r="B129">
        <v>20000</v>
      </c>
    </row>
    <row r="130" spans="1:2" x14ac:dyDescent="0.2">
      <c r="A130" t="s">
        <v>513</v>
      </c>
      <c r="B130">
        <v>14393.15</v>
      </c>
    </row>
  </sheetData>
  <sortState ref="A2:B130">
    <sortCondition descending="1" ref="B2:B13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9"/>
  <sheetViews>
    <sheetView tabSelected="1" workbookViewId="0">
      <selection activeCell="B1" sqref="B1:B129"/>
    </sheetView>
  </sheetViews>
  <sheetFormatPr baseColWidth="10" defaultRowHeight="16" x14ac:dyDescent="0.2"/>
  <sheetData>
    <row r="1" spans="1:2" x14ac:dyDescent="0.2">
      <c r="A1" t="s">
        <v>117</v>
      </c>
      <c r="B1" t="str">
        <f>""""&amp;A1&amp;""","</f>
        <v>"Catholic Charities CYO",</v>
      </c>
    </row>
    <row r="2" spans="1:2" x14ac:dyDescent="0.2">
      <c r="A2" t="s">
        <v>447</v>
      </c>
      <c r="B2" t="str">
        <f t="shared" ref="B2:B65" si="0">""""&amp;A2&amp;""","</f>
        <v>"Northern California Community Loan Fund",</v>
      </c>
    </row>
    <row r="3" spans="1:2" x14ac:dyDescent="0.2">
      <c r="A3" t="s">
        <v>234</v>
      </c>
      <c r="B3" t="str">
        <f t="shared" si="0"/>
        <v>"Dolores Street Community Services",</v>
      </c>
    </row>
    <row r="4" spans="1:2" x14ac:dyDescent="0.2">
      <c r="A4" t="s">
        <v>564</v>
      </c>
      <c r="B4" t="str">
        <f t="shared" si="0"/>
        <v>"SF LGBT Community Center",</v>
      </c>
    </row>
    <row r="5" spans="1:2" x14ac:dyDescent="0.2">
      <c r="A5" t="s">
        <v>135</v>
      </c>
      <c r="B5" t="str">
        <f t="shared" si="0"/>
        <v>"Central American Resource Center (CARECEN)",</v>
      </c>
    </row>
    <row r="6" spans="1:2" x14ac:dyDescent="0.2">
      <c r="A6" t="s">
        <v>269</v>
      </c>
      <c r="B6" t="str">
        <f t="shared" si="0"/>
        <v>"Eviction Defense Collaborative, Inc.",</v>
      </c>
    </row>
    <row r="7" spans="1:2" x14ac:dyDescent="0.2">
      <c r="A7" t="s">
        <v>585</v>
      </c>
      <c r="B7" t="str">
        <f t="shared" si="0"/>
        <v>"Tenderloin Housing Clinic, Inc.",</v>
      </c>
    </row>
    <row r="8" spans="1:2" x14ac:dyDescent="0.2">
      <c r="A8" t="s">
        <v>216</v>
      </c>
      <c r="B8" t="str">
        <f t="shared" si="0"/>
        <v>"Consumer Credit Counseling Service of San Francisco",</v>
      </c>
    </row>
    <row r="9" spans="1:2" x14ac:dyDescent="0.2">
      <c r="A9" t="s">
        <v>385</v>
      </c>
      <c r="B9" t="str">
        <f t="shared" si="0"/>
        <v>"Maitri Compassionate Care",</v>
      </c>
    </row>
    <row r="10" spans="1:2" x14ac:dyDescent="0.2">
      <c r="A10" t="s">
        <v>70</v>
      </c>
      <c r="B10" t="str">
        <f t="shared" si="0"/>
        <v>"Bay Area Legal Aid",</v>
      </c>
    </row>
    <row r="11" spans="1:2" x14ac:dyDescent="0.2">
      <c r="A11" t="s">
        <v>527</v>
      </c>
      <c r="B11" t="str">
        <f t="shared" si="0"/>
        <v>"San Francisco Housing Development Corporation",</v>
      </c>
    </row>
    <row r="12" spans="1:2" x14ac:dyDescent="0.2">
      <c r="A12" t="s">
        <v>652</v>
      </c>
      <c r="B12" t="str">
        <f t="shared" si="0"/>
        <v>"YMCA of San Francisco (Bayview)",</v>
      </c>
    </row>
    <row r="13" spans="1:2" x14ac:dyDescent="0.2">
      <c r="A13" t="s">
        <v>432</v>
      </c>
      <c r="B13" t="str">
        <f t="shared" si="0"/>
        <v>"Nihonmachi Legal Outreach",</v>
      </c>
    </row>
    <row r="14" spans="1:2" x14ac:dyDescent="0.2">
      <c r="A14" t="s">
        <v>416</v>
      </c>
      <c r="B14" t="str">
        <f t="shared" si="0"/>
        <v>"Mission Neighborhood Centers",</v>
      </c>
    </row>
    <row r="15" spans="1:2" x14ac:dyDescent="0.2">
      <c r="A15" t="s">
        <v>366</v>
      </c>
      <c r="B15" t="str">
        <f t="shared" si="0"/>
        <v>"Larkin Street Youth Services",</v>
      </c>
    </row>
    <row r="16" spans="1:2" x14ac:dyDescent="0.2">
      <c r="A16" t="s">
        <v>546</v>
      </c>
      <c r="B16" t="str">
        <f t="shared" si="0"/>
        <v>"San Francisco Study Center - Housing Rights Committee of San Francisco",</v>
      </c>
    </row>
    <row r="17" spans="1:2" x14ac:dyDescent="0.2">
      <c r="A17" t="s">
        <v>166</v>
      </c>
      <c r="B17" t="str">
        <f t="shared" si="0"/>
        <v>"Chinese for Affirmative Action",</v>
      </c>
    </row>
    <row r="18" spans="1:2" x14ac:dyDescent="0.2">
      <c r="A18" t="s">
        <v>616</v>
      </c>
      <c r="B18" t="str">
        <f t="shared" si="0"/>
        <v>"Urban Services YMCA",</v>
      </c>
    </row>
    <row r="19" spans="1:2" x14ac:dyDescent="0.2">
      <c r="A19" t="s">
        <v>205</v>
      </c>
      <c r="B19" t="str">
        <f t="shared" si="0"/>
        <v>"Compass Family Services",</v>
      </c>
    </row>
    <row r="20" spans="1:2" x14ac:dyDescent="0.2">
      <c r="A20" t="s">
        <v>151</v>
      </c>
      <c r="B20" t="str">
        <f t="shared" si="0"/>
        <v>"Chinatown Community Development Center",</v>
      </c>
    </row>
    <row r="21" spans="1:2" x14ac:dyDescent="0.2">
      <c r="A21" t="s">
        <v>246</v>
      </c>
      <c r="B21" t="str">
        <f t="shared" si="0"/>
        <v>"Donaldina Cameron House",</v>
      </c>
    </row>
    <row r="22" spans="1:2" x14ac:dyDescent="0.2">
      <c r="A22" t="s">
        <v>196</v>
      </c>
      <c r="B22" t="str">
        <f t="shared" si="0"/>
        <v>"Community Youth Center-San Francisco (CYC-SF)",</v>
      </c>
    </row>
    <row r="23" spans="1:2" x14ac:dyDescent="0.2">
      <c r="A23" t="s">
        <v>13</v>
      </c>
      <c r="B23" t="str">
        <f t="shared" si="0"/>
        <v>"AIDS Housing Alliance",</v>
      </c>
    </row>
    <row r="24" spans="1:2" x14ac:dyDescent="0.2">
      <c r="A24" t="s">
        <v>613</v>
      </c>
      <c r="B24" t="str">
        <f t="shared" si="0"/>
        <v>"Uptown Tenderloin, Inc.",</v>
      </c>
    </row>
    <row r="25" spans="1:2" x14ac:dyDescent="0.2">
      <c r="A25" t="s">
        <v>130</v>
      </c>
      <c r="B25" t="str">
        <f t="shared" si="0"/>
        <v>"Causa Justa :: Just Cause",</v>
      </c>
    </row>
    <row r="26" spans="1:2" x14ac:dyDescent="0.2">
      <c r="A26" t="s">
        <v>103</v>
      </c>
      <c r="B26" t="str">
        <f t="shared" si="0"/>
        <v>"Boys &amp; Girls Clubs of San Francisco",</v>
      </c>
    </row>
    <row r="27" spans="1:2" x14ac:dyDescent="0.2">
      <c r="A27" t="s">
        <v>226</v>
      </c>
      <c r="B27" t="str">
        <f t="shared" si="0"/>
        <v>"Corporation for Supportive Housing",</v>
      </c>
    </row>
    <row r="28" spans="1:2" x14ac:dyDescent="0.2">
      <c r="A28" t="s">
        <v>628</v>
      </c>
      <c r="B28" t="str">
        <f t="shared" si="0"/>
        <v>"Veterans Equity Center",</v>
      </c>
    </row>
    <row r="29" spans="1:2" x14ac:dyDescent="0.2">
      <c r="A29" t="s">
        <v>88</v>
      </c>
      <c r="B29" t="str">
        <f t="shared" si="0"/>
        <v>"Bernal Heights Neighborhood Center",</v>
      </c>
    </row>
    <row r="30" spans="1:2" x14ac:dyDescent="0.2">
      <c r="A30" t="s">
        <v>497</v>
      </c>
      <c r="B30" t="str">
        <f t="shared" si="0"/>
        <v>"Renaissance Entrepreneurship Center",</v>
      </c>
    </row>
    <row r="31" spans="1:2" x14ac:dyDescent="0.2">
      <c r="A31" t="s">
        <v>401</v>
      </c>
      <c r="B31" t="str">
        <f t="shared" si="0"/>
        <v>"Mission Economic Development Agency",</v>
      </c>
    </row>
    <row r="32" spans="1:2" x14ac:dyDescent="0.2">
      <c r="A32" t="s">
        <v>599</v>
      </c>
      <c r="B32" t="str">
        <f t="shared" si="0"/>
        <v>"Tides Center / PODER",</v>
      </c>
    </row>
    <row r="33" spans="1:2" x14ac:dyDescent="0.2">
      <c r="A33" t="s">
        <v>331</v>
      </c>
      <c r="B33" t="str">
        <f t="shared" si="0"/>
        <v>"HomeownershipSF",</v>
      </c>
    </row>
    <row r="34" spans="1:2" x14ac:dyDescent="0.2">
      <c r="A34" t="s">
        <v>350</v>
      </c>
      <c r="B34" t="str">
        <f t="shared" si="0"/>
        <v>"Justice &amp; Diversity Center of the Bar Association of San Francisco",</v>
      </c>
    </row>
    <row r="35" spans="1:2" x14ac:dyDescent="0.2">
      <c r="A35" t="s">
        <v>24</v>
      </c>
      <c r="B35" t="str">
        <f t="shared" si="0"/>
        <v>"APA Family Support Services",</v>
      </c>
    </row>
    <row r="36" spans="1:2" x14ac:dyDescent="0.2">
      <c r="A36" t="s">
        <v>85</v>
      </c>
      <c r="B36" t="str">
        <f t="shared" si="0"/>
        <v>"Bernal Heights Housing Corporation",</v>
      </c>
    </row>
    <row r="37" spans="1:2" x14ac:dyDescent="0.2">
      <c r="A37" t="s">
        <v>280</v>
      </c>
      <c r="B37" t="str">
        <f t="shared" si="0"/>
        <v>"Filipino American Development Foundation (FADF)/South of Market Community A",</v>
      </c>
    </row>
    <row r="38" spans="1:2" x14ac:dyDescent="0.2">
      <c r="A38" t="s">
        <v>463</v>
      </c>
      <c r="B38" t="str">
        <f t="shared" si="0"/>
        <v>"Openhouse",</v>
      </c>
    </row>
    <row r="39" spans="1:2" x14ac:dyDescent="0.2">
      <c r="A39" t="s">
        <v>636</v>
      </c>
      <c r="B39" t="str">
        <f t="shared" si="0"/>
        <v>"Vietnamese Youth Development Center",</v>
      </c>
    </row>
    <row r="40" spans="1:2" x14ac:dyDescent="0.2">
      <c r="A40" t="s">
        <v>466</v>
      </c>
      <c r="B40" t="str">
        <f t="shared" si="0"/>
        <v>"Portola Family Connections",</v>
      </c>
    </row>
    <row r="41" spans="1:2" x14ac:dyDescent="0.2">
      <c r="A41" t="s">
        <v>536</v>
      </c>
      <c r="B41" t="str">
        <f t="shared" si="0"/>
        <v>"San Francisco Parks Alliance",</v>
      </c>
    </row>
    <row r="42" spans="1:2" x14ac:dyDescent="0.2">
      <c r="A42" t="s">
        <v>645</v>
      </c>
      <c r="B42" t="str">
        <f t="shared" si="0"/>
        <v>"Wu Yee Children's Services",</v>
      </c>
    </row>
    <row r="43" spans="1:2" x14ac:dyDescent="0.2">
      <c r="A43" t="s">
        <v>113</v>
      </c>
      <c r="B43" t="str">
        <f t="shared" si="0"/>
        <v>"BRIDGE Regional Partners, Inc.",</v>
      </c>
    </row>
    <row r="44" spans="1:2" x14ac:dyDescent="0.2">
      <c r="A44" t="s">
        <v>460</v>
      </c>
      <c r="B44" t="str">
        <f t="shared" si="0"/>
        <v>"Northern California Presbyterian Homes &amp; Services (NCPHS)",</v>
      </c>
    </row>
    <row r="45" spans="1:2" x14ac:dyDescent="0.2">
      <c r="A45" t="s">
        <v>491</v>
      </c>
      <c r="B45" t="str">
        <f t="shared" si="0"/>
        <v>"Rebuilding Together San Francisco",</v>
      </c>
    </row>
    <row r="46" spans="1:2" x14ac:dyDescent="0.2">
      <c r="A46" t="s">
        <v>395</v>
      </c>
      <c r="B46" t="str">
        <f t="shared" si="0"/>
        <v>"Mercy Housing California",</v>
      </c>
    </row>
    <row r="47" spans="1:2" x14ac:dyDescent="0.2">
      <c r="A47" t="s">
        <v>314</v>
      </c>
      <c r="B47" t="str">
        <f t="shared" si="0"/>
        <v>"Hamilton Families",</v>
      </c>
    </row>
    <row r="48" spans="1:2" x14ac:dyDescent="0.2">
      <c r="A48" t="s">
        <v>34</v>
      </c>
      <c r="B48" t="str">
        <f t="shared" si="0"/>
        <v>"APA Family Support Services/YMCA of San Francisco (Bayview)",</v>
      </c>
    </row>
    <row r="49" spans="1:2" x14ac:dyDescent="0.2">
      <c r="A49" t="s">
        <v>426</v>
      </c>
      <c r="B49" t="str">
        <f t="shared" si="0"/>
        <v>"Mujeres Unidas Activas",</v>
      </c>
    </row>
    <row r="50" spans="1:2" x14ac:dyDescent="0.2">
      <c r="A50" t="s">
        <v>82</v>
      </c>
      <c r="B50" t="str">
        <f t="shared" si="0"/>
        <v>"Bayview Hunters Point Multipurpose Senior Services",</v>
      </c>
    </row>
    <row r="51" spans="1:2" x14ac:dyDescent="0.2">
      <c r="A51" t="s">
        <v>46</v>
      </c>
      <c r="B51" t="str">
        <f t="shared" si="0"/>
        <v>"Asian Neighborhood Design",</v>
      </c>
    </row>
    <row r="52" spans="1:2" x14ac:dyDescent="0.2">
      <c r="A52" t="s">
        <v>96</v>
      </c>
      <c r="B52" t="str">
        <f t="shared" si="0"/>
        <v>"Board of Trustees of the Glide Foundation",</v>
      </c>
    </row>
    <row r="53" spans="1:2" x14ac:dyDescent="0.2">
      <c r="A53" t="s">
        <v>41</v>
      </c>
      <c r="B53" t="str">
        <f t="shared" si="0"/>
        <v>"Asian Americans Advancing Justice - Asian Law Caucus",</v>
      </c>
    </row>
    <row r="54" spans="1:2" x14ac:dyDescent="0.2">
      <c r="A54" t="s">
        <v>301</v>
      </c>
      <c r="B54" t="str">
        <f t="shared" si="0"/>
        <v>"GRID Alternatives",</v>
      </c>
    </row>
    <row r="55" spans="1:2" x14ac:dyDescent="0.2">
      <c r="A55" t="s">
        <v>470</v>
      </c>
      <c r="B55" t="str">
        <f t="shared" si="0"/>
        <v>"Positive Resource Center",</v>
      </c>
    </row>
    <row r="56" spans="1:2" x14ac:dyDescent="0.2">
      <c r="A56" t="s">
        <v>181</v>
      </c>
      <c r="B56" t="str">
        <f t="shared" si="0"/>
        <v>"Collective Impact (dba Mo' Magic)",</v>
      </c>
    </row>
    <row r="57" spans="1:2" x14ac:dyDescent="0.2">
      <c r="A57" t="s">
        <v>561</v>
      </c>
      <c r="B57" t="str">
        <f t="shared" si="0"/>
        <v>"SF CLOUT",</v>
      </c>
    </row>
    <row r="58" spans="1:2" x14ac:dyDescent="0.2">
      <c r="A58" t="s">
        <v>290</v>
      </c>
      <c r="B58" t="str">
        <f t="shared" si="0"/>
        <v>"Filipino-American Development Foundation: Filipino Community Center",</v>
      </c>
    </row>
    <row r="59" spans="1:2" x14ac:dyDescent="0.2">
      <c r="A59" t="s">
        <v>174</v>
      </c>
      <c r="B59" t="str">
        <f t="shared" si="0"/>
        <v>"Chinese Progressive Association",</v>
      </c>
    </row>
    <row r="60" spans="1:2" x14ac:dyDescent="0.2">
      <c r="A60" t="s">
        <v>264</v>
      </c>
      <c r="B60" t="str">
        <f t="shared" si="0"/>
        <v>"Episcopal Community Services of San Francisco",</v>
      </c>
    </row>
    <row r="61" spans="1:2" x14ac:dyDescent="0.2">
      <c r="A61" t="s">
        <v>356</v>
      </c>
      <c r="B61" t="str">
        <f t="shared" si="0"/>
        <v>"La Casa de las Madres",</v>
      </c>
    </row>
    <row r="62" spans="1:2" x14ac:dyDescent="0.2">
      <c r="A62" t="s">
        <v>304</v>
      </c>
      <c r="B62" t="str">
        <f t="shared" si="0"/>
        <v>"Gum Moon Residence Hall",</v>
      </c>
    </row>
    <row r="63" spans="1:2" x14ac:dyDescent="0.2">
      <c r="A63" t="s">
        <v>607</v>
      </c>
      <c r="B63" t="str">
        <f t="shared" si="0"/>
        <v>"United Playaz",</v>
      </c>
    </row>
    <row r="64" spans="1:2" x14ac:dyDescent="0.2">
      <c r="A64" t="s">
        <v>505</v>
      </c>
      <c r="B64" t="str">
        <f t="shared" si="0"/>
        <v>"Richmond District Neighborhood Center",</v>
      </c>
    </row>
    <row r="65" spans="1:2" x14ac:dyDescent="0.2">
      <c r="A65" t="s">
        <v>19</v>
      </c>
      <c r="B65" t="str">
        <f t="shared" si="0"/>
        <v>"AIDS Legal Referral Panel of the SF Bay Area",</v>
      </c>
    </row>
    <row r="66" spans="1:2" x14ac:dyDescent="0.2">
      <c r="A66" t="s">
        <v>362</v>
      </c>
      <c r="B66" t="str">
        <f t="shared" ref="B66:B129" si="1">""""&amp;A66&amp;""","</f>
        <v>"La Raza Community Resource Center",</v>
      </c>
    </row>
    <row r="67" spans="1:2" x14ac:dyDescent="0.2">
      <c r="A67" t="s">
        <v>592</v>
      </c>
      <c r="B67" t="str">
        <f t="shared" si="1"/>
        <v>"Tenderloin Neighborhood Development Corporation",</v>
      </c>
    </row>
    <row r="68" spans="1:2" x14ac:dyDescent="0.2">
      <c r="A68" t="s">
        <v>294</v>
      </c>
      <c r="B68" t="str">
        <f t="shared" si="1"/>
        <v>"Friendship House Association of American Indians",</v>
      </c>
    </row>
    <row r="69" spans="1:2" x14ac:dyDescent="0.2">
      <c r="A69" t="s">
        <v>573</v>
      </c>
      <c r="B69" t="str">
        <f t="shared" si="1"/>
        <v>"Southeast Asian Community Center",</v>
      </c>
    </row>
    <row r="70" spans="1:2" x14ac:dyDescent="0.2">
      <c r="A70" t="s">
        <v>411</v>
      </c>
      <c r="B70" t="str">
        <f t="shared" si="1"/>
        <v>"Mission Language and Vocational School, Inc.",</v>
      </c>
    </row>
    <row r="71" spans="1:2" x14ac:dyDescent="0.2">
      <c r="A71" t="s">
        <v>212</v>
      </c>
      <c r="B71" t="str">
        <f t="shared" si="1"/>
        <v>"Compasspoint Nonprofit Services",</v>
      </c>
    </row>
    <row r="72" spans="1:2" x14ac:dyDescent="0.2">
      <c r="A72" t="s">
        <v>640</v>
      </c>
      <c r="B72" t="str">
        <f t="shared" si="1"/>
        <v>"West Bay Pilipino Multi Service Corporation",</v>
      </c>
    </row>
    <row r="73" spans="1:2" x14ac:dyDescent="0.2">
      <c r="A73" t="s">
        <v>510</v>
      </c>
      <c r="B73" t="str">
        <f t="shared" si="1"/>
        <v>"San Francisco AIDS Foundation",</v>
      </c>
    </row>
    <row r="74" spans="1:2" x14ac:dyDescent="0.2">
      <c r="A74" t="s">
        <v>376</v>
      </c>
      <c r="B74" t="str">
        <f t="shared" si="1"/>
        <v>"Lawyers' Committee for Civil Rights of the San Francisco Bay Area",</v>
      </c>
    </row>
    <row r="75" spans="1:2" x14ac:dyDescent="0.2">
      <c r="A75" t="s">
        <v>62</v>
      </c>
      <c r="B75" t="str">
        <f t="shared" si="1"/>
        <v>"Asian Women's Shelter",</v>
      </c>
    </row>
    <row r="76" spans="1:2" x14ac:dyDescent="0.2">
      <c r="A76" t="s">
        <v>110</v>
      </c>
      <c r="B76" t="str">
        <f t="shared" si="1"/>
        <v>"Brava! for Women in the Arts",</v>
      </c>
    </row>
    <row r="77" spans="1:2" x14ac:dyDescent="0.2">
      <c r="A77" t="s">
        <v>441</v>
      </c>
      <c r="B77" t="str">
        <f t="shared" si="1"/>
        <v>"Nihonmachi Little Friends",</v>
      </c>
    </row>
    <row r="78" spans="1:2" x14ac:dyDescent="0.2">
      <c r="A78" t="s">
        <v>658</v>
      </c>
      <c r="B78" t="str">
        <f t="shared" si="1"/>
        <v>"YMCA of San Francisco (Bayview)/Together United Recommitted Forever (T.U.R.F.)",</v>
      </c>
    </row>
    <row r="79" spans="1:2" x14ac:dyDescent="0.2">
      <c r="A79" t="s">
        <v>59</v>
      </c>
      <c r="B79" t="str">
        <f t="shared" si="1"/>
        <v>"Asian Pacific American Community Center",</v>
      </c>
    </row>
    <row r="80" spans="1:2" x14ac:dyDescent="0.2">
      <c r="A80" t="s">
        <v>287</v>
      </c>
      <c r="B80" t="str">
        <f t="shared" si="1"/>
        <v>"Filipino American Development Foundation/Pin@y Educational Partnerships (PE",</v>
      </c>
    </row>
    <row r="81" spans="1:2" x14ac:dyDescent="0.2">
      <c r="A81" t="s">
        <v>184</v>
      </c>
      <c r="B81" t="str">
        <f t="shared" si="1"/>
        <v>"Community Awareness &amp; Treatment Services",</v>
      </c>
    </row>
    <row r="82" spans="1:2" x14ac:dyDescent="0.2">
      <c r="A82" t="s">
        <v>324</v>
      </c>
      <c r="B82" t="str">
        <f t="shared" si="1"/>
        <v>"Homeless Children's Network",</v>
      </c>
    </row>
    <row r="83" spans="1:2" x14ac:dyDescent="0.2">
      <c r="A83" t="s">
        <v>276</v>
      </c>
      <c r="B83" t="str">
        <f t="shared" si="1"/>
        <v>"Filipino American Development Foundation",</v>
      </c>
    </row>
    <row r="84" spans="1:2" x14ac:dyDescent="0.2">
      <c r="A84" t="s">
        <v>543</v>
      </c>
      <c r="B84" t="str">
        <f t="shared" si="1"/>
        <v>"San Francisco Sheriff's Department 5 Keys Charter School",</v>
      </c>
    </row>
    <row r="85" spans="1:2" x14ac:dyDescent="0.2">
      <c r="A85" t="s">
        <v>582</v>
      </c>
      <c r="B85" t="str">
        <f t="shared" si="1"/>
        <v>"Telegraph Hill Neighborhood Association",</v>
      </c>
    </row>
    <row r="86" spans="1:2" x14ac:dyDescent="0.2">
      <c r="A86" t="s">
        <v>516</v>
      </c>
      <c r="B86" t="str">
        <f t="shared" si="1"/>
        <v>"San Francisco Community Empowerment Center",</v>
      </c>
    </row>
    <row r="87" spans="1:2" x14ac:dyDescent="0.2">
      <c r="A87" t="s">
        <v>486</v>
      </c>
      <c r="B87" t="str">
        <f t="shared" si="1"/>
        <v>"Rafiki Coalition for Health and Wellness",</v>
      </c>
    </row>
    <row r="88" spans="1:2" x14ac:dyDescent="0.2">
      <c r="A88" t="s">
        <v>579</v>
      </c>
      <c r="B88" t="str">
        <f t="shared" si="1"/>
        <v>"Swords to Plowshares Veterans Rights Organization",</v>
      </c>
    </row>
    <row r="89" spans="1:2" x14ac:dyDescent="0.2">
      <c r="A89" t="s">
        <v>476</v>
      </c>
      <c r="B89" t="str">
        <f t="shared" si="1"/>
        <v>"Potrero Hill Neighborhood House",</v>
      </c>
    </row>
    <row r="90" spans="1:2" x14ac:dyDescent="0.2">
      <c r="A90" t="s">
        <v>254</v>
      </c>
      <c r="B90" t="str">
        <f t="shared" si="1"/>
        <v>"EARN (Earned Assets Resource Network)",</v>
      </c>
    </row>
    <row r="91" spans="1:2" x14ac:dyDescent="0.2">
      <c r="A91" t="s">
        <v>557</v>
      </c>
      <c r="B91" t="str">
        <f t="shared" si="1"/>
        <v>"Self-Help for the Elderly",</v>
      </c>
    </row>
    <row r="92" spans="1:2" x14ac:dyDescent="0.2">
      <c r="A92" t="s">
        <v>625</v>
      </c>
      <c r="B92" t="str">
        <f t="shared" si="1"/>
        <v>"Urban Solutions",</v>
      </c>
    </row>
    <row r="93" spans="1:2" x14ac:dyDescent="0.2">
      <c r="A93" t="s">
        <v>662</v>
      </c>
      <c r="B93" t="str">
        <f t="shared" si="1"/>
        <v>"YMCA of San Francisco (Chinatown Branch)",</v>
      </c>
    </row>
    <row r="94" spans="1:2" x14ac:dyDescent="0.2">
      <c r="A94" t="s">
        <v>28</v>
      </c>
      <c r="B94" t="str">
        <f t="shared" si="1"/>
        <v>"APA Family Support Services/SCDC",</v>
      </c>
    </row>
    <row r="95" spans="1:2" x14ac:dyDescent="0.2">
      <c r="A95" t="s">
        <v>408</v>
      </c>
      <c r="B95" t="str">
        <f t="shared" si="1"/>
        <v>"Mission Hiring Hall",</v>
      </c>
    </row>
    <row r="96" spans="1:2" x14ac:dyDescent="0.2">
      <c r="A96" t="s">
        <v>141</v>
      </c>
      <c r="B96" t="str">
        <f t="shared" si="1"/>
        <v>"Central City Hospitality House",</v>
      </c>
    </row>
    <row r="97" spans="1:2" x14ac:dyDescent="0.2">
      <c r="A97" t="s">
        <v>328</v>
      </c>
      <c r="B97" t="str">
        <f t="shared" si="1"/>
        <v>"Homeless Prenatal Program, Inc.",</v>
      </c>
    </row>
    <row r="98" spans="1:2" x14ac:dyDescent="0.2">
      <c r="A98" t="s">
        <v>398</v>
      </c>
      <c r="B98" t="str">
        <f t="shared" si="1"/>
        <v>"Mission Asset Fund",</v>
      </c>
    </row>
    <row r="99" spans="1:2" x14ac:dyDescent="0.2">
      <c r="A99" t="s">
        <v>520</v>
      </c>
      <c r="B99" t="str">
        <f t="shared" si="1"/>
        <v>"San Francisco Community Land Trust",</v>
      </c>
    </row>
    <row r="100" spans="1:2" x14ac:dyDescent="0.2">
      <c r="A100" t="s">
        <v>347</v>
      </c>
      <c r="B100" t="str">
        <f t="shared" si="1"/>
        <v>"Instituto Laboral de la Raza",</v>
      </c>
    </row>
    <row r="101" spans="1:2" x14ac:dyDescent="0.2">
      <c r="A101" t="s">
        <v>344</v>
      </c>
      <c r="B101" t="str">
        <f t="shared" si="1"/>
        <v>"Independent Living Resource Center of SF",</v>
      </c>
    </row>
    <row r="102" spans="1:2" x14ac:dyDescent="0.2">
      <c r="A102" t="s">
        <v>148</v>
      </c>
      <c r="B102" t="str">
        <f t="shared" si="1"/>
        <v>"Charity Cultural Services Center",</v>
      </c>
    </row>
    <row r="103" spans="1:2" x14ac:dyDescent="0.2">
      <c r="A103" t="s">
        <v>298</v>
      </c>
      <c r="B103" t="str">
        <f t="shared" si="1"/>
        <v>"Good Samaritan Family Resource Center",</v>
      </c>
    </row>
    <row r="104" spans="1:2" x14ac:dyDescent="0.2">
      <c r="A104" t="s">
        <v>193</v>
      </c>
      <c r="B104" t="str">
        <f t="shared" si="1"/>
        <v>"Community Housing Partnership",</v>
      </c>
    </row>
    <row r="105" spans="1:2" x14ac:dyDescent="0.2">
      <c r="A105" t="s">
        <v>38</v>
      </c>
      <c r="B105" t="str">
        <f t="shared" si="1"/>
        <v>"Arab Cultural and Community Center",</v>
      </c>
    </row>
    <row r="106" spans="1:2" x14ac:dyDescent="0.2">
      <c r="A106" t="s">
        <v>66</v>
      </c>
      <c r="B106" t="str">
        <f t="shared" si="1"/>
        <v>"ASIAN, Inc.",</v>
      </c>
    </row>
    <row r="107" spans="1:2" x14ac:dyDescent="0.2">
      <c r="A107" t="s">
        <v>321</v>
      </c>
      <c r="B107" t="str">
        <f t="shared" si="1"/>
        <v>"Hearing and Speech Center of Northern California",</v>
      </c>
    </row>
    <row r="108" spans="1:2" x14ac:dyDescent="0.2">
      <c r="A108" t="s">
        <v>338</v>
      </c>
      <c r="B108" t="str">
        <f t="shared" si="1"/>
        <v>"Homies Organizing the Mission to Empower Youth (HOMEY)",</v>
      </c>
    </row>
    <row r="109" spans="1:2" x14ac:dyDescent="0.2">
      <c r="A109" t="s">
        <v>341</v>
      </c>
      <c r="B109" t="str">
        <f t="shared" si="1"/>
        <v>"Housing and Economic Rights Advocates",</v>
      </c>
    </row>
    <row r="110" spans="1:2" x14ac:dyDescent="0.2">
      <c r="A110" t="s">
        <v>359</v>
      </c>
      <c r="B110" t="str">
        <f t="shared" si="1"/>
        <v>"La Raza Centro Legal",</v>
      </c>
    </row>
    <row r="111" spans="1:2" x14ac:dyDescent="0.2">
      <c r="A111" t="s">
        <v>373</v>
      </c>
      <c r="B111" t="str">
        <f t="shared" si="1"/>
        <v>"Lavender Youth Rec. &amp; Info. Ct.(LYRIC)",</v>
      </c>
    </row>
    <row r="112" spans="1:2" x14ac:dyDescent="0.2">
      <c r="A112" t="s">
        <v>392</v>
      </c>
      <c r="B112" t="str">
        <f t="shared" si="1"/>
        <v>"Mercy Housing CA XVII",</v>
      </c>
    </row>
    <row r="113" spans="1:2" x14ac:dyDescent="0.2">
      <c r="A113" t="s">
        <v>429</v>
      </c>
      <c r="B113" t="str">
        <f t="shared" si="1"/>
        <v>"My Path",</v>
      </c>
    </row>
    <row r="114" spans="1:2" x14ac:dyDescent="0.2">
      <c r="A114" t="s">
        <v>444</v>
      </c>
      <c r="B114" t="str">
        <f t="shared" si="1"/>
        <v>"Northeast Community Federal Credit Union",</v>
      </c>
    </row>
    <row r="115" spans="1:2" x14ac:dyDescent="0.2">
      <c r="A115" t="s">
        <v>524</v>
      </c>
      <c r="B115" t="str">
        <f t="shared" si="1"/>
        <v>"San Francisco Conservation Corps",</v>
      </c>
    </row>
    <row r="116" spans="1:2" x14ac:dyDescent="0.2">
      <c r="A116" t="s">
        <v>576</v>
      </c>
      <c r="B116" t="str">
        <f t="shared" si="1"/>
        <v>"Sunset District Comm. Develop. Corp. dba Sunset Youth Services",</v>
      </c>
    </row>
    <row r="117" spans="1:2" x14ac:dyDescent="0.2">
      <c r="A117" t="s">
        <v>596</v>
      </c>
      <c r="B117" t="str">
        <f t="shared" si="1"/>
        <v>"The Arc San Francisco",</v>
      </c>
    </row>
    <row r="118" spans="1:2" x14ac:dyDescent="0.2">
      <c r="A118" t="s">
        <v>382</v>
      </c>
      <c r="B118" t="str">
        <f t="shared" si="1"/>
        <v>"Legal Services For Children",</v>
      </c>
    </row>
    <row r="119" spans="1:2" x14ac:dyDescent="0.2">
      <c r="A119" t="s">
        <v>189</v>
      </c>
      <c r="B119" t="str">
        <f t="shared" si="1"/>
        <v>"Community Design Center",</v>
      </c>
    </row>
    <row r="120" spans="1:2" x14ac:dyDescent="0.2">
      <c r="A120" t="s">
        <v>423</v>
      </c>
      <c r="B120" t="str">
        <f t="shared" si="1"/>
        <v>"Mission Neighborhood Health Center",</v>
      </c>
    </row>
    <row r="121" spans="1:2" x14ac:dyDescent="0.2">
      <c r="A121" t="s">
        <v>483</v>
      </c>
      <c r="B121" t="str">
        <f t="shared" si="1"/>
        <v>"Providence Foundation",</v>
      </c>
    </row>
    <row r="122" spans="1:2" x14ac:dyDescent="0.2">
      <c r="A122" t="s">
        <v>99</v>
      </c>
      <c r="B122" t="str">
        <f t="shared" si="1"/>
        <v>"Booker T. Washington Community Service Center",</v>
      </c>
    </row>
    <row r="123" spans="1:2" x14ac:dyDescent="0.2">
      <c r="A123" t="s">
        <v>171</v>
      </c>
      <c r="B123" t="str">
        <f t="shared" si="1"/>
        <v>"Chinese Newcomers Service Center",</v>
      </c>
    </row>
    <row r="124" spans="1:2" x14ac:dyDescent="0.2">
      <c r="A124" t="s">
        <v>479</v>
      </c>
      <c r="B124" t="str">
        <f t="shared" si="1"/>
        <v>"Prevent Child Abuse California",</v>
      </c>
    </row>
    <row r="125" spans="1:2" x14ac:dyDescent="0.2">
      <c r="A125" t="s">
        <v>379</v>
      </c>
      <c r="B125" t="str">
        <f t="shared" si="1"/>
        <v>"Legal Assistance to the Elderly",</v>
      </c>
    </row>
    <row r="126" spans="1:2" x14ac:dyDescent="0.2">
      <c r="A126" t="s">
        <v>259</v>
      </c>
      <c r="B126" t="str">
        <f t="shared" si="1"/>
        <v>"Earned Assets Resource Network/Office of the Treasurer",</v>
      </c>
    </row>
    <row r="127" spans="1:2" x14ac:dyDescent="0.2">
      <c r="A127" t="s">
        <v>231</v>
      </c>
      <c r="B127" t="str">
        <f t="shared" si="1"/>
        <v>"Cross Cultural Family Center",</v>
      </c>
    </row>
    <row r="128" spans="1:2" x14ac:dyDescent="0.2">
      <c r="A128" t="s">
        <v>144</v>
      </c>
      <c r="B128" t="str">
        <f t="shared" si="1"/>
        <v>"Central Market Community Benefit District",</v>
      </c>
    </row>
    <row r="129" spans="1:2" x14ac:dyDescent="0.2">
      <c r="A129" t="s">
        <v>513</v>
      </c>
      <c r="B129" t="str">
        <f t="shared" si="1"/>
        <v>"San Francisco Beautiful",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C1" sqref="C1:C17"/>
    </sheetView>
  </sheetViews>
  <sheetFormatPr baseColWidth="10" defaultRowHeight="16" x14ac:dyDescent="0.2"/>
  <sheetData>
    <row r="1" spans="1:3" x14ac:dyDescent="0.2">
      <c r="A1" t="s">
        <v>26</v>
      </c>
      <c r="C1" t="str">
        <f>"'"&amp;A1&amp;"'"&amp;","</f>
        <v>'Capital Projects',</v>
      </c>
    </row>
    <row r="2" spans="1:3" x14ac:dyDescent="0.2">
      <c r="A2" t="s">
        <v>54</v>
      </c>
      <c r="C2" t="str">
        <f t="shared" ref="C2:C17" si="0">"'"&amp;A2&amp;"'"&amp;","</f>
        <v>'Community Building and Neighborhood Planning',</v>
      </c>
    </row>
    <row r="3" spans="1:3" x14ac:dyDescent="0.2">
      <c r="A3" t="s">
        <v>48</v>
      </c>
      <c r="C3" t="str">
        <f t="shared" si="0"/>
        <v>'Housing Development Grants',</v>
      </c>
    </row>
    <row r="4" spans="1:3" x14ac:dyDescent="0.2">
      <c r="A4" t="s">
        <v>203</v>
      </c>
      <c r="C4" t="str">
        <f t="shared" si="0"/>
        <v>'Organizational Capacity Building',</v>
      </c>
    </row>
    <row r="5" spans="1:3" x14ac:dyDescent="0.2">
      <c r="A5" t="s">
        <v>222</v>
      </c>
      <c r="C5" t="str">
        <f t="shared" si="0"/>
        <v>'Public Services - Access to Housing',</v>
      </c>
    </row>
    <row r="6" spans="1:3" x14ac:dyDescent="0.2">
      <c r="A6" t="s">
        <v>15</v>
      </c>
      <c r="C6" t="str">
        <f t="shared" si="0"/>
        <v>'Public Services - Eviction Prevention',</v>
      </c>
    </row>
    <row r="7" spans="1:3" x14ac:dyDescent="0.2">
      <c r="A7" t="s">
        <v>219</v>
      </c>
      <c r="C7" t="str">
        <f t="shared" si="0"/>
        <v>'Public Services - Financial Counseling Integration Pilot',</v>
      </c>
    </row>
    <row r="8" spans="1:3" x14ac:dyDescent="0.2">
      <c r="A8" t="s">
        <v>256</v>
      </c>
      <c r="C8" t="str">
        <f t="shared" si="0"/>
        <v>'Public Services - Financial Education',</v>
      </c>
    </row>
    <row r="9" spans="1:3" x14ac:dyDescent="0.2">
      <c r="A9" t="s">
        <v>101</v>
      </c>
      <c r="C9" t="str">
        <f t="shared" si="0"/>
        <v>'Public Services - Foundational Competencies',</v>
      </c>
    </row>
    <row r="10" spans="1:3" x14ac:dyDescent="0.2">
      <c r="A10" t="s">
        <v>64</v>
      </c>
      <c r="C10" t="str">
        <f t="shared" si="0"/>
        <v>'Public Services - Homeless Services',</v>
      </c>
    </row>
    <row r="11" spans="1:3" x14ac:dyDescent="0.2">
      <c r="A11" t="s">
        <v>36</v>
      </c>
      <c r="C11" t="str">
        <f t="shared" si="0"/>
        <v>'Public Services - Housing Place-Based Services',</v>
      </c>
    </row>
    <row r="12" spans="1:3" x14ac:dyDescent="0.2">
      <c r="A12" t="s">
        <v>21</v>
      </c>
      <c r="C12" t="str">
        <f t="shared" si="0"/>
        <v>'Public Services - Legal Services',</v>
      </c>
    </row>
    <row r="13" spans="1:3" x14ac:dyDescent="0.2">
      <c r="A13" t="s">
        <v>146</v>
      </c>
      <c r="C13" t="str">
        <f t="shared" si="0"/>
        <v>'Public Services - Neighborhood and Business Coordination',</v>
      </c>
    </row>
    <row r="14" spans="1:3" x14ac:dyDescent="0.2">
      <c r="A14" t="s">
        <v>30</v>
      </c>
      <c r="C14" t="str">
        <f t="shared" si="0"/>
        <v>'Public Services - Service Connection',</v>
      </c>
    </row>
    <row r="15" spans="1:3" x14ac:dyDescent="0.2">
      <c r="A15" t="s">
        <v>121</v>
      </c>
      <c r="C15" t="str">
        <f t="shared" si="0"/>
        <v>'Public Services - Supportive Housing for PLWHA',</v>
      </c>
    </row>
    <row r="16" spans="1:3" x14ac:dyDescent="0.2">
      <c r="A16" t="s">
        <v>68</v>
      </c>
      <c r="C16" t="str">
        <f t="shared" si="0"/>
        <v>'Public Services - Sustainable Homeownership',</v>
      </c>
    </row>
    <row r="17" spans="1:3" x14ac:dyDescent="0.2">
      <c r="A17" t="s">
        <v>310</v>
      </c>
      <c r="C17" t="str">
        <f t="shared" si="0"/>
        <v>'Public Services - Transitional Housing &amp; Services',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9"/>
  <sheetViews>
    <sheetView topLeftCell="E1" workbookViewId="0">
      <selection activeCell="L1" sqref="L1"/>
    </sheetView>
  </sheetViews>
  <sheetFormatPr baseColWidth="10" defaultRowHeight="16" x14ac:dyDescent="0.2"/>
  <cols>
    <col min="2" max="2" width="48" customWidth="1"/>
    <col min="3" max="3" width="40.6640625" customWidth="1"/>
    <col min="4" max="4" width="48.33203125" customWidth="1"/>
    <col min="5" max="5" width="26.6640625" customWidth="1"/>
    <col min="6" max="6" width="19.5" customWidth="1"/>
    <col min="7" max="7" width="22.5" customWidth="1"/>
    <col min="11" max="11" width="11.1640625" customWidth="1"/>
    <col min="12" max="12" width="14.1640625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 t="s">
        <v>12</v>
      </c>
      <c r="B2" t="s">
        <v>13</v>
      </c>
      <c r="C2" t="s">
        <v>14</v>
      </c>
      <c r="D2" t="s">
        <v>15</v>
      </c>
      <c r="I2" s="1">
        <v>150000</v>
      </c>
      <c r="L2" s="1">
        <v>150000</v>
      </c>
    </row>
    <row r="3" spans="1:12" x14ac:dyDescent="0.2">
      <c r="A3" t="s">
        <v>16</v>
      </c>
      <c r="B3" t="s">
        <v>13</v>
      </c>
      <c r="C3" t="s">
        <v>17</v>
      </c>
      <c r="D3" t="s">
        <v>15</v>
      </c>
      <c r="E3" s="1">
        <v>294426</v>
      </c>
      <c r="L3" s="1">
        <v>294426</v>
      </c>
    </row>
    <row r="4" spans="1:12" x14ac:dyDescent="0.2">
      <c r="A4" t="s">
        <v>18</v>
      </c>
      <c r="B4" t="s">
        <v>19</v>
      </c>
      <c r="C4" t="s">
        <v>20</v>
      </c>
      <c r="D4" t="s">
        <v>21</v>
      </c>
      <c r="E4" s="1">
        <v>51250</v>
      </c>
      <c r="L4" s="1">
        <v>51250</v>
      </c>
    </row>
    <row r="5" spans="1:12" x14ac:dyDescent="0.2">
      <c r="A5" t="s">
        <v>22</v>
      </c>
      <c r="B5" t="s">
        <v>19</v>
      </c>
      <c r="C5" t="s">
        <v>20</v>
      </c>
      <c r="D5" t="s">
        <v>21</v>
      </c>
      <c r="H5" s="1">
        <v>82000</v>
      </c>
      <c r="L5" s="1">
        <v>82000</v>
      </c>
    </row>
    <row r="6" spans="1:12" x14ac:dyDescent="0.2">
      <c r="A6" t="s">
        <v>23</v>
      </c>
      <c r="B6" t="s">
        <v>24</v>
      </c>
      <c r="C6" t="s">
        <v>25</v>
      </c>
      <c r="D6" t="s">
        <v>26</v>
      </c>
      <c r="K6" s="1">
        <v>293000</v>
      </c>
      <c r="L6" s="1">
        <v>293000</v>
      </c>
    </row>
    <row r="7" spans="1:12" x14ac:dyDescent="0.2">
      <c r="A7" t="s">
        <v>27</v>
      </c>
      <c r="B7" t="s">
        <v>28</v>
      </c>
      <c r="C7" t="s">
        <v>29</v>
      </c>
      <c r="D7" t="s">
        <v>30</v>
      </c>
      <c r="E7" s="1">
        <v>5109.3900000000003</v>
      </c>
      <c r="L7" s="1">
        <v>5109.3900000000003</v>
      </c>
    </row>
    <row r="8" spans="1:12" x14ac:dyDescent="0.2">
      <c r="A8" t="s">
        <v>31</v>
      </c>
      <c r="B8" t="s">
        <v>28</v>
      </c>
      <c r="C8" t="s">
        <v>29</v>
      </c>
      <c r="D8" t="s">
        <v>30</v>
      </c>
      <c r="H8" s="1">
        <v>50000</v>
      </c>
      <c r="L8" s="1">
        <v>50000</v>
      </c>
    </row>
    <row r="9" spans="1:12" x14ac:dyDescent="0.2">
      <c r="A9" t="s">
        <v>32</v>
      </c>
      <c r="B9" t="s">
        <v>28</v>
      </c>
      <c r="C9" t="s">
        <v>29</v>
      </c>
      <c r="D9" t="s">
        <v>30</v>
      </c>
      <c r="E9" s="1">
        <v>20500</v>
      </c>
      <c r="L9" s="1">
        <v>20500</v>
      </c>
    </row>
    <row r="10" spans="1:12" x14ac:dyDescent="0.2">
      <c r="A10" t="s">
        <v>33</v>
      </c>
      <c r="B10" t="s">
        <v>34</v>
      </c>
      <c r="C10" t="s">
        <v>35</v>
      </c>
      <c r="D10" t="s">
        <v>36</v>
      </c>
      <c r="E10" s="1">
        <v>216662</v>
      </c>
      <c r="L10" s="1">
        <v>216662</v>
      </c>
    </row>
    <row r="11" spans="1:12" x14ac:dyDescent="0.2">
      <c r="A11" t="s">
        <v>37</v>
      </c>
      <c r="B11" t="s">
        <v>38</v>
      </c>
      <c r="C11" t="s">
        <v>39</v>
      </c>
      <c r="D11" t="s">
        <v>30</v>
      </c>
      <c r="H11" s="1">
        <v>50000</v>
      </c>
      <c r="L11" s="1">
        <v>50000</v>
      </c>
    </row>
    <row r="12" spans="1:12" x14ac:dyDescent="0.2">
      <c r="A12" t="s">
        <v>40</v>
      </c>
      <c r="B12" t="s">
        <v>41</v>
      </c>
      <c r="C12" t="s">
        <v>42</v>
      </c>
      <c r="D12" t="s">
        <v>21</v>
      </c>
      <c r="H12" s="1">
        <v>52000</v>
      </c>
      <c r="L12" s="1">
        <v>52000</v>
      </c>
    </row>
    <row r="13" spans="1:12" x14ac:dyDescent="0.2">
      <c r="A13" t="s">
        <v>43</v>
      </c>
      <c r="B13" t="s">
        <v>41</v>
      </c>
      <c r="C13" t="s">
        <v>44</v>
      </c>
      <c r="D13" t="s">
        <v>21</v>
      </c>
      <c r="E13" s="1">
        <v>124196</v>
      </c>
      <c r="L13" s="1">
        <v>124196</v>
      </c>
    </row>
    <row r="14" spans="1:12" x14ac:dyDescent="0.2">
      <c r="A14" t="s">
        <v>45</v>
      </c>
      <c r="B14" t="s">
        <v>46</v>
      </c>
      <c r="C14" t="s">
        <v>47</v>
      </c>
      <c r="D14" t="s">
        <v>48</v>
      </c>
      <c r="H14" s="1">
        <v>41210.410000000003</v>
      </c>
      <c r="L14" s="1">
        <v>41210.410000000003</v>
      </c>
    </row>
    <row r="15" spans="1:12" x14ac:dyDescent="0.2">
      <c r="A15" t="s">
        <v>49</v>
      </c>
      <c r="B15" t="s">
        <v>46</v>
      </c>
      <c r="C15" t="s">
        <v>50</v>
      </c>
      <c r="D15" t="s">
        <v>48</v>
      </c>
      <c r="H15" s="1">
        <v>50828</v>
      </c>
      <c r="L15" s="1">
        <v>50828</v>
      </c>
    </row>
    <row r="16" spans="1:12" x14ac:dyDescent="0.2">
      <c r="A16" t="s">
        <v>51</v>
      </c>
      <c r="B16" t="s">
        <v>46</v>
      </c>
      <c r="C16" t="s">
        <v>50</v>
      </c>
      <c r="D16" t="s">
        <v>26</v>
      </c>
      <c r="H16" s="1">
        <v>3580.87</v>
      </c>
      <c r="L16" s="1">
        <v>3580.87</v>
      </c>
    </row>
    <row r="17" spans="1:12" x14ac:dyDescent="0.2">
      <c r="A17" t="s">
        <v>52</v>
      </c>
      <c r="B17" t="s">
        <v>46</v>
      </c>
      <c r="C17" t="s">
        <v>53</v>
      </c>
      <c r="D17" t="s">
        <v>54</v>
      </c>
      <c r="G17" s="1">
        <v>15000</v>
      </c>
      <c r="L17" s="1">
        <v>15000</v>
      </c>
    </row>
    <row r="18" spans="1:12" x14ac:dyDescent="0.2">
      <c r="A18" t="s">
        <v>55</v>
      </c>
      <c r="B18" t="s">
        <v>46</v>
      </c>
      <c r="C18" t="s">
        <v>50</v>
      </c>
      <c r="D18" t="s">
        <v>26</v>
      </c>
      <c r="H18" s="1">
        <v>45000</v>
      </c>
      <c r="L18" s="1">
        <v>45000</v>
      </c>
    </row>
    <row r="19" spans="1:12" x14ac:dyDescent="0.2">
      <c r="A19" t="s">
        <v>56</v>
      </c>
      <c r="B19" t="s">
        <v>46</v>
      </c>
      <c r="C19" t="s">
        <v>50</v>
      </c>
      <c r="D19" t="s">
        <v>26</v>
      </c>
      <c r="H19" s="1">
        <v>29705.1</v>
      </c>
      <c r="L19" s="1">
        <v>29705.1</v>
      </c>
    </row>
    <row r="20" spans="1:12" x14ac:dyDescent="0.2">
      <c r="A20" t="s">
        <v>57</v>
      </c>
      <c r="B20" t="s">
        <v>46</v>
      </c>
      <c r="C20" t="s">
        <v>50</v>
      </c>
      <c r="D20" t="s">
        <v>26</v>
      </c>
      <c r="H20" s="1">
        <v>13369.25</v>
      </c>
      <c r="L20" s="1">
        <v>13369.25</v>
      </c>
    </row>
    <row r="21" spans="1:12" x14ac:dyDescent="0.2">
      <c r="A21" t="s">
        <v>58</v>
      </c>
      <c r="B21" t="s">
        <v>59</v>
      </c>
      <c r="C21" t="s">
        <v>60</v>
      </c>
      <c r="D21" t="s">
        <v>30</v>
      </c>
      <c r="E21" s="1">
        <v>99986.4</v>
      </c>
      <c r="L21" s="1">
        <v>99986.4</v>
      </c>
    </row>
    <row r="22" spans="1:12" x14ac:dyDescent="0.2">
      <c r="A22" t="s">
        <v>61</v>
      </c>
      <c r="B22" t="s">
        <v>62</v>
      </c>
      <c r="C22" t="s">
        <v>63</v>
      </c>
      <c r="D22" t="s">
        <v>64</v>
      </c>
      <c r="I22" s="1">
        <v>102000</v>
      </c>
      <c r="L22" s="1">
        <v>102000</v>
      </c>
    </row>
    <row r="23" spans="1:12" x14ac:dyDescent="0.2">
      <c r="A23" t="s">
        <v>65</v>
      </c>
      <c r="B23" t="s">
        <v>66</v>
      </c>
      <c r="C23" t="s">
        <v>67</v>
      </c>
      <c r="D23" t="s">
        <v>68</v>
      </c>
      <c r="H23" s="1">
        <v>50000</v>
      </c>
      <c r="L23" s="1">
        <v>50000</v>
      </c>
    </row>
    <row r="24" spans="1:12" x14ac:dyDescent="0.2">
      <c r="A24" t="s">
        <v>69</v>
      </c>
      <c r="B24" t="s">
        <v>70</v>
      </c>
      <c r="C24" t="s">
        <v>71</v>
      </c>
      <c r="D24" t="s">
        <v>15</v>
      </c>
      <c r="E24" s="1">
        <v>124958.02</v>
      </c>
      <c r="L24" s="1">
        <v>124958.02</v>
      </c>
    </row>
    <row r="25" spans="1:12" x14ac:dyDescent="0.2">
      <c r="A25" t="s">
        <v>72</v>
      </c>
      <c r="B25" t="s">
        <v>70</v>
      </c>
      <c r="C25" t="s">
        <v>73</v>
      </c>
      <c r="D25" t="s">
        <v>21</v>
      </c>
      <c r="E25" s="1">
        <v>38855.75</v>
      </c>
      <c r="L25" s="1">
        <v>38855.75</v>
      </c>
    </row>
    <row r="26" spans="1:12" x14ac:dyDescent="0.2">
      <c r="A26" t="s">
        <v>74</v>
      </c>
      <c r="B26" t="s">
        <v>70</v>
      </c>
      <c r="C26" t="s">
        <v>73</v>
      </c>
      <c r="D26" t="s">
        <v>21</v>
      </c>
      <c r="H26" s="1">
        <v>100000</v>
      </c>
      <c r="L26" s="1">
        <v>100000</v>
      </c>
    </row>
    <row r="27" spans="1:12" x14ac:dyDescent="0.2">
      <c r="A27" t="s">
        <v>75</v>
      </c>
      <c r="B27" t="s">
        <v>70</v>
      </c>
      <c r="C27" t="s">
        <v>73</v>
      </c>
      <c r="D27" t="s">
        <v>15</v>
      </c>
      <c r="E27" s="1">
        <v>54764</v>
      </c>
      <c r="L27" s="1">
        <v>54764</v>
      </c>
    </row>
    <row r="28" spans="1:12" x14ac:dyDescent="0.2">
      <c r="A28" t="s">
        <v>76</v>
      </c>
      <c r="B28" t="s">
        <v>70</v>
      </c>
      <c r="C28" t="s">
        <v>77</v>
      </c>
      <c r="D28" t="s">
        <v>15</v>
      </c>
      <c r="E28" s="1">
        <v>53651.41</v>
      </c>
      <c r="G28" s="1">
        <v>73827.429999999993</v>
      </c>
      <c r="L28" s="1">
        <v>127478.84</v>
      </c>
    </row>
    <row r="29" spans="1:12" x14ac:dyDescent="0.2">
      <c r="A29" t="s">
        <v>78</v>
      </c>
      <c r="B29" t="s">
        <v>70</v>
      </c>
      <c r="C29" t="s">
        <v>73</v>
      </c>
      <c r="D29" t="s">
        <v>21</v>
      </c>
      <c r="E29" s="1">
        <v>51250</v>
      </c>
      <c r="L29" s="1">
        <v>51250</v>
      </c>
    </row>
    <row r="30" spans="1:12" x14ac:dyDescent="0.2">
      <c r="A30" t="s">
        <v>79</v>
      </c>
      <c r="B30" t="s">
        <v>70</v>
      </c>
      <c r="C30" t="s">
        <v>73</v>
      </c>
      <c r="D30" t="s">
        <v>15</v>
      </c>
      <c r="G30" s="1">
        <v>100000</v>
      </c>
      <c r="L30" s="1">
        <v>100000</v>
      </c>
    </row>
    <row r="31" spans="1:12" x14ac:dyDescent="0.2">
      <c r="A31" t="s">
        <v>80</v>
      </c>
      <c r="B31" t="s">
        <v>70</v>
      </c>
      <c r="C31" t="s">
        <v>73</v>
      </c>
      <c r="D31" t="s">
        <v>15</v>
      </c>
      <c r="E31" s="1">
        <v>358750</v>
      </c>
      <c r="L31" s="1">
        <v>358750</v>
      </c>
    </row>
    <row r="32" spans="1:12" x14ac:dyDescent="0.2">
      <c r="A32" t="s">
        <v>81</v>
      </c>
      <c r="B32" t="s">
        <v>82</v>
      </c>
      <c r="C32" t="s">
        <v>83</v>
      </c>
      <c r="D32" t="s">
        <v>26</v>
      </c>
      <c r="K32" s="1">
        <v>200000</v>
      </c>
      <c r="L32" s="1">
        <v>200000</v>
      </c>
    </row>
    <row r="33" spans="1:12" x14ac:dyDescent="0.2">
      <c r="A33" t="s">
        <v>84</v>
      </c>
      <c r="B33" t="s">
        <v>85</v>
      </c>
      <c r="C33" t="s">
        <v>86</v>
      </c>
      <c r="D33" t="s">
        <v>26</v>
      </c>
      <c r="F33" s="1">
        <v>290178</v>
      </c>
      <c r="L33" s="1">
        <v>290178</v>
      </c>
    </row>
    <row r="34" spans="1:12" x14ac:dyDescent="0.2">
      <c r="A34" t="s">
        <v>87</v>
      </c>
      <c r="B34" t="s">
        <v>88</v>
      </c>
      <c r="C34" t="s">
        <v>89</v>
      </c>
      <c r="D34" t="s">
        <v>54</v>
      </c>
      <c r="E34" s="1">
        <v>90000</v>
      </c>
      <c r="L34" s="1">
        <v>90000</v>
      </c>
    </row>
    <row r="35" spans="1:12" x14ac:dyDescent="0.2">
      <c r="A35" t="s">
        <v>90</v>
      </c>
      <c r="B35" t="s">
        <v>88</v>
      </c>
      <c r="C35" t="s">
        <v>89</v>
      </c>
      <c r="D35" t="s">
        <v>54</v>
      </c>
      <c r="E35" s="1">
        <v>43054.68</v>
      </c>
      <c r="L35" s="1">
        <v>43054.68</v>
      </c>
    </row>
    <row r="36" spans="1:12" x14ac:dyDescent="0.2">
      <c r="A36" t="s">
        <v>91</v>
      </c>
      <c r="B36" t="s">
        <v>88</v>
      </c>
      <c r="C36" t="s">
        <v>89</v>
      </c>
      <c r="D36" t="s">
        <v>48</v>
      </c>
      <c r="H36" s="1">
        <v>35000</v>
      </c>
      <c r="L36" s="1">
        <v>35000</v>
      </c>
    </row>
    <row r="37" spans="1:12" x14ac:dyDescent="0.2">
      <c r="A37" t="s">
        <v>92</v>
      </c>
      <c r="B37" t="s">
        <v>88</v>
      </c>
      <c r="C37" t="s">
        <v>89</v>
      </c>
      <c r="D37" t="s">
        <v>48</v>
      </c>
      <c r="H37" s="1">
        <v>27750</v>
      </c>
      <c r="L37" s="1">
        <v>27750</v>
      </c>
    </row>
    <row r="38" spans="1:12" x14ac:dyDescent="0.2">
      <c r="A38" t="s">
        <v>93</v>
      </c>
      <c r="B38" t="s">
        <v>88</v>
      </c>
      <c r="C38" t="s">
        <v>89</v>
      </c>
      <c r="D38" t="s">
        <v>54</v>
      </c>
      <c r="E38" s="1">
        <v>128125</v>
      </c>
      <c r="L38" s="1">
        <v>128125</v>
      </c>
    </row>
    <row r="39" spans="1:12" x14ac:dyDescent="0.2">
      <c r="A39" t="s">
        <v>94</v>
      </c>
      <c r="B39" t="s">
        <v>88</v>
      </c>
      <c r="C39" t="s">
        <v>89</v>
      </c>
      <c r="D39" t="s">
        <v>48</v>
      </c>
      <c r="H39" s="1">
        <v>35000</v>
      </c>
      <c r="L39" s="1">
        <v>35000</v>
      </c>
    </row>
    <row r="40" spans="1:12" x14ac:dyDescent="0.2">
      <c r="A40" t="s">
        <v>95</v>
      </c>
      <c r="B40" t="s">
        <v>96</v>
      </c>
      <c r="C40" t="s">
        <v>97</v>
      </c>
      <c r="D40" t="s">
        <v>26</v>
      </c>
      <c r="K40" s="1">
        <v>190817</v>
      </c>
      <c r="L40" s="1">
        <v>190817</v>
      </c>
    </row>
    <row r="41" spans="1:12" x14ac:dyDescent="0.2">
      <c r="A41" t="s">
        <v>98</v>
      </c>
      <c r="B41" t="s">
        <v>99</v>
      </c>
      <c r="C41" t="s">
        <v>100</v>
      </c>
      <c r="D41" t="s">
        <v>101</v>
      </c>
      <c r="H41" s="1">
        <v>40000</v>
      </c>
      <c r="L41" s="1">
        <v>40000</v>
      </c>
    </row>
    <row r="42" spans="1:12" x14ac:dyDescent="0.2">
      <c r="A42" t="s">
        <v>102</v>
      </c>
      <c r="B42" t="s">
        <v>103</v>
      </c>
      <c r="C42" t="s">
        <v>104</v>
      </c>
      <c r="D42" t="s">
        <v>26</v>
      </c>
      <c r="K42" s="1">
        <v>220918</v>
      </c>
      <c r="L42" s="1">
        <v>220918</v>
      </c>
    </row>
    <row r="43" spans="1:12" x14ac:dyDescent="0.2">
      <c r="A43" t="s">
        <v>105</v>
      </c>
      <c r="B43" t="s">
        <v>103</v>
      </c>
      <c r="C43" t="s">
        <v>106</v>
      </c>
      <c r="D43" t="s">
        <v>26</v>
      </c>
      <c r="K43" s="1">
        <v>120000</v>
      </c>
      <c r="L43" s="1">
        <v>120000</v>
      </c>
    </row>
    <row r="44" spans="1:12" x14ac:dyDescent="0.2">
      <c r="A44" t="s">
        <v>107</v>
      </c>
      <c r="B44" t="s">
        <v>103</v>
      </c>
      <c r="C44" t="s">
        <v>108</v>
      </c>
      <c r="D44" t="s">
        <v>26</v>
      </c>
      <c r="H44" s="1">
        <v>42500</v>
      </c>
      <c r="L44" s="1">
        <v>42500</v>
      </c>
    </row>
    <row r="45" spans="1:12" x14ac:dyDescent="0.2">
      <c r="A45" t="s">
        <v>109</v>
      </c>
      <c r="B45" t="s">
        <v>110</v>
      </c>
      <c r="C45" t="s">
        <v>111</v>
      </c>
      <c r="D45" t="s">
        <v>26</v>
      </c>
      <c r="H45" s="1">
        <v>100000</v>
      </c>
      <c r="L45" s="1">
        <v>100000</v>
      </c>
    </row>
    <row r="46" spans="1:12" x14ac:dyDescent="0.2">
      <c r="A46" t="s">
        <v>112</v>
      </c>
      <c r="B46" t="s">
        <v>113</v>
      </c>
      <c r="C46" t="s">
        <v>114</v>
      </c>
      <c r="D46" t="s">
        <v>36</v>
      </c>
      <c r="E46" s="1">
        <v>155000</v>
      </c>
      <c r="L46" s="1">
        <v>155000</v>
      </c>
    </row>
    <row r="47" spans="1:12" x14ac:dyDescent="0.2">
      <c r="A47" t="s">
        <v>115</v>
      </c>
      <c r="B47" t="s">
        <v>113</v>
      </c>
      <c r="C47" t="s">
        <v>114</v>
      </c>
      <c r="D47" t="s">
        <v>36</v>
      </c>
      <c r="E47" s="1">
        <v>75000</v>
      </c>
      <c r="L47" s="1">
        <v>75000</v>
      </c>
    </row>
    <row r="48" spans="1:12" x14ac:dyDescent="0.2">
      <c r="A48" t="s">
        <v>116</v>
      </c>
      <c r="B48" t="s">
        <v>117</v>
      </c>
      <c r="C48" t="s">
        <v>118</v>
      </c>
      <c r="D48" t="s">
        <v>15</v>
      </c>
      <c r="I48" s="1">
        <v>190000</v>
      </c>
      <c r="L48" s="1">
        <v>190000</v>
      </c>
    </row>
    <row r="49" spans="1:12" x14ac:dyDescent="0.2">
      <c r="A49" t="s">
        <v>119</v>
      </c>
      <c r="B49" t="s">
        <v>117</v>
      </c>
      <c r="C49" t="s">
        <v>120</v>
      </c>
      <c r="D49" t="s">
        <v>121</v>
      </c>
      <c r="F49" s="1">
        <v>1683973</v>
      </c>
      <c r="L49" s="1">
        <v>1683973</v>
      </c>
    </row>
    <row r="50" spans="1:12" x14ac:dyDescent="0.2">
      <c r="A50" t="s">
        <v>122</v>
      </c>
      <c r="B50" t="s">
        <v>117</v>
      </c>
      <c r="C50" t="s">
        <v>123</v>
      </c>
      <c r="D50" t="s">
        <v>121</v>
      </c>
      <c r="F50" s="1">
        <v>758187</v>
      </c>
      <c r="L50" s="1">
        <v>758187</v>
      </c>
    </row>
    <row r="51" spans="1:12" x14ac:dyDescent="0.2">
      <c r="A51" t="s">
        <v>124</v>
      </c>
      <c r="B51" t="s">
        <v>117</v>
      </c>
      <c r="C51" t="s">
        <v>120</v>
      </c>
      <c r="D51" t="s">
        <v>121</v>
      </c>
      <c r="F51" s="1">
        <v>686093.39</v>
      </c>
      <c r="L51" s="1">
        <v>686093.39</v>
      </c>
    </row>
    <row r="52" spans="1:12" x14ac:dyDescent="0.2">
      <c r="A52" t="s">
        <v>125</v>
      </c>
      <c r="B52" t="s">
        <v>117</v>
      </c>
      <c r="C52" t="s">
        <v>126</v>
      </c>
      <c r="D52" t="s">
        <v>121</v>
      </c>
      <c r="F52" s="1">
        <v>69133.22</v>
      </c>
      <c r="L52" s="1">
        <v>69133.22</v>
      </c>
    </row>
    <row r="53" spans="1:12" x14ac:dyDescent="0.2">
      <c r="A53" t="s">
        <v>127</v>
      </c>
      <c r="B53" t="s">
        <v>117</v>
      </c>
      <c r="C53" t="s">
        <v>126</v>
      </c>
      <c r="D53" t="s">
        <v>121</v>
      </c>
      <c r="F53" s="1">
        <v>150000</v>
      </c>
      <c r="L53" s="1">
        <v>150000</v>
      </c>
    </row>
    <row r="54" spans="1:12" x14ac:dyDescent="0.2">
      <c r="A54" t="s">
        <v>128</v>
      </c>
      <c r="B54" t="s">
        <v>117</v>
      </c>
      <c r="C54" t="s">
        <v>123</v>
      </c>
      <c r="D54" t="s">
        <v>26</v>
      </c>
      <c r="F54" s="1">
        <v>433188</v>
      </c>
      <c r="L54" s="1">
        <v>433188</v>
      </c>
    </row>
    <row r="55" spans="1:12" x14ac:dyDescent="0.2">
      <c r="A55" t="s">
        <v>129</v>
      </c>
      <c r="B55" t="s">
        <v>130</v>
      </c>
      <c r="C55" t="s">
        <v>131</v>
      </c>
      <c r="D55" t="s">
        <v>15</v>
      </c>
      <c r="E55" s="1">
        <v>97897</v>
      </c>
      <c r="G55" s="1">
        <v>50000</v>
      </c>
      <c r="L55" s="1">
        <v>147897</v>
      </c>
    </row>
    <row r="56" spans="1:12" x14ac:dyDescent="0.2">
      <c r="A56" t="s">
        <v>132</v>
      </c>
      <c r="B56" t="s">
        <v>130</v>
      </c>
      <c r="C56" t="s">
        <v>133</v>
      </c>
      <c r="D56" t="s">
        <v>15</v>
      </c>
      <c r="E56" s="1">
        <v>250000</v>
      </c>
      <c r="L56" s="1">
        <v>250000</v>
      </c>
    </row>
    <row r="57" spans="1:12" x14ac:dyDescent="0.2">
      <c r="A57" t="s">
        <v>134</v>
      </c>
      <c r="B57" t="s">
        <v>135</v>
      </c>
      <c r="C57" t="s">
        <v>136</v>
      </c>
      <c r="D57" t="s">
        <v>21</v>
      </c>
      <c r="E57" s="1">
        <v>1320457.6399999999</v>
      </c>
      <c r="L57" s="1">
        <v>1320457.6399999999</v>
      </c>
    </row>
    <row r="58" spans="1:12" x14ac:dyDescent="0.2">
      <c r="A58" t="s">
        <v>137</v>
      </c>
      <c r="B58" t="s">
        <v>135</v>
      </c>
      <c r="C58" t="s">
        <v>136</v>
      </c>
      <c r="D58" t="s">
        <v>21</v>
      </c>
      <c r="H58" s="1">
        <v>80000</v>
      </c>
      <c r="L58" s="1">
        <v>80000</v>
      </c>
    </row>
    <row r="59" spans="1:12" x14ac:dyDescent="0.2">
      <c r="A59" t="s">
        <v>138</v>
      </c>
      <c r="B59" t="s">
        <v>135</v>
      </c>
      <c r="C59" t="s">
        <v>139</v>
      </c>
      <c r="D59" t="s">
        <v>30</v>
      </c>
      <c r="E59" s="1">
        <v>75000</v>
      </c>
      <c r="L59" s="1">
        <v>75000</v>
      </c>
    </row>
    <row r="60" spans="1:12" x14ac:dyDescent="0.2">
      <c r="A60" t="s">
        <v>140</v>
      </c>
      <c r="B60" t="s">
        <v>141</v>
      </c>
      <c r="C60" t="s">
        <v>142</v>
      </c>
      <c r="D60" t="s">
        <v>64</v>
      </c>
      <c r="H60" s="1">
        <v>65000</v>
      </c>
      <c r="L60" s="1">
        <v>65000</v>
      </c>
    </row>
    <row r="61" spans="1:12" x14ac:dyDescent="0.2">
      <c r="A61" t="s">
        <v>143</v>
      </c>
      <c r="B61" t="s">
        <v>144</v>
      </c>
      <c r="C61" t="s">
        <v>145</v>
      </c>
      <c r="D61" t="s">
        <v>146</v>
      </c>
      <c r="J61" s="1">
        <v>20000</v>
      </c>
      <c r="L61" s="1">
        <v>20000</v>
      </c>
    </row>
    <row r="62" spans="1:12" x14ac:dyDescent="0.2">
      <c r="A62" t="s">
        <v>147</v>
      </c>
      <c r="B62" t="s">
        <v>148</v>
      </c>
      <c r="C62" t="s">
        <v>149</v>
      </c>
      <c r="D62" t="s">
        <v>26</v>
      </c>
      <c r="H62" s="1">
        <v>52723.7</v>
      </c>
      <c r="L62" s="1">
        <v>52723.7</v>
      </c>
    </row>
    <row r="63" spans="1:12" x14ac:dyDescent="0.2">
      <c r="A63" t="s">
        <v>150</v>
      </c>
      <c r="B63" t="s">
        <v>151</v>
      </c>
      <c r="C63" t="s">
        <v>152</v>
      </c>
      <c r="D63" t="s">
        <v>30</v>
      </c>
      <c r="E63" s="1">
        <v>12628.64</v>
      </c>
      <c r="L63" s="1">
        <v>12628.64</v>
      </c>
    </row>
    <row r="64" spans="1:12" x14ac:dyDescent="0.2">
      <c r="A64" t="s">
        <v>153</v>
      </c>
      <c r="B64" t="s">
        <v>151</v>
      </c>
      <c r="C64" t="s">
        <v>154</v>
      </c>
      <c r="D64" t="s">
        <v>15</v>
      </c>
      <c r="H64" s="1">
        <v>50000</v>
      </c>
      <c r="L64" s="1">
        <v>50000</v>
      </c>
    </row>
    <row r="65" spans="1:12" x14ac:dyDescent="0.2">
      <c r="A65" t="s">
        <v>155</v>
      </c>
      <c r="B65" t="s">
        <v>151</v>
      </c>
      <c r="C65" t="s">
        <v>156</v>
      </c>
      <c r="D65" t="s">
        <v>30</v>
      </c>
      <c r="E65" s="1">
        <v>83583.259999999995</v>
      </c>
      <c r="L65" s="1">
        <v>83583.259999999995</v>
      </c>
    </row>
    <row r="66" spans="1:12" x14ac:dyDescent="0.2">
      <c r="A66" t="s">
        <v>157</v>
      </c>
      <c r="B66" t="s">
        <v>151</v>
      </c>
      <c r="C66" t="s">
        <v>152</v>
      </c>
      <c r="D66" t="s">
        <v>30</v>
      </c>
      <c r="E66" s="1">
        <v>51250</v>
      </c>
      <c r="L66" s="1">
        <v>51250</v>
      </c>
    </row>
    <row r="67" spans="1:12" x14ac:dyDescent="0.2">
      <c r="A67" t="s">
        <v>158</v>
      </c>
      <c r="B67" t="s">
        <v>151</v>
      </c>
      <c r="C67" t="s">
        <v>156</v>
      </c>
      <c r="D67" t="s">
        <v>101</v>
      </c>
      <c r="E67" s="1">
        <v>99530</v>
      </c>
      <c r="L67" s="1">
        <v>99530</v>
      </c>
    </row>
    <row r="68" spans="1:12" x14ac:dyDescent="0.2">
      <c r="A68" t="s">
        <v>159</v>
      </c>
      <c r="B68" t="s">
        <v>151</v>
      </c>
      <c r="C68" t="s">
        <v>160</v>
      </c>
      <c r="D68" t="s">
        <v>48</v>
      </c>
      <c r="H68" s="1">
        <v>45286.5</v>
      </c>
      <c r="L68" s="1">
        <v>45286.5</v>
      </c>
    </row>
    <row r="69" spans="1:12" x14ac:dyDescent="0.2">
      <c r="A69" t="s">
        <v>161</v>
      </c>
      <c r="B69" t="s">
        <v>151</v>
      </c>
      <c r="C69" t="s">
        <v>156</v>
      </c>
      <c r="D69" t="s">
        <v>48</v>
      </c>
      <c r="H69" s="1">
        <v>52646.99</v>
      </c>
      <c r="L69" s="1">
        <v>52646.99</v>
      </c>
    </row>
    <row r="70" spans="1:12" x14ac:dyDescent="0.2">
      <c r="A70" t="s">
        <v>162</v>
      </c>
      <c r="B70" t="s">
        <v>151</v>
      </c>
      <c r="C70" t="s">
        <v>156</v>
      </c>
      <c r="D70" t="s">
        <v>48</v>
      </c>
      <c r="H70" s="1">
        <v>70200.28</v>
      </c>
      <c r="L70" s="1">
        <v>70200.28</v>
      </c>
    </row>
    <row r="71" spans="1:12" x14ac:dyDescent="0.2">
      <c r="A71" t="s">
        <v>163</v>
      </c>
      <c r="B71" t="s">
        <v>151</v>
      </c>
      <c r="C71" t="s">
        <v>164</v>
      </c>
      <c r="D71" t="s">
        <v>48</v>
      </c>
      <c r="H71" s="1">
        <v>19005</v>
      </c>
      <c r="L71" s="1">
        <v>19005</v>
      </c>
    </row>
    <row r="72" spans="1:12" x14ac:dyDescent="0.2">
      <c r="A72" t="s">
        <v>165</v>
      </c>
      <c r="B72" t="s">
        <v>166</v>
      </c>
      <c r="C72" t="s">
        <v>167</v>
      </c>
      <c r="D72" t="s">
        <v>30</v>
      </c>
      <c r="E72" s="1">
        <v>469500</v>
      </c>
      <c r="L72" s="1">
        <v>469500</v>
      </c>
    </row>
    <row r="73" spans="1:12" x14ac:dyDescent="0.2">
      <c r="A73" t="s">
        <v>168</v>
      </c>
      <c r="B73" t="s">
        <v>166</v>
      </c>
      <c r="C73" t="s">
        <v>169</v>
      </c>
      <c r="D73" t="s">
        <v>54</v>
      </c>
      <c r="E73" s="1">
        <v>93500</v>
      </c>
      <c r="L73" s="1">
        <v>93500</v>
      </c>
    </row>
    <row r="74" spans="1:12" x14ac:dyDescent="0.2">
      <c r="A74" t="s">
        <v>170</v>
      </c>
      <c r="B74" t="s">
        <v>171</v>
      </c>
      <c r="C74" t="s">
        <v>172</v>
      </c>
      <c r="D74" t="s">
        <v>30</v>
      </c>
      <c r="E74" s="1">
        <v>38634</v>
      </c>
      <c r="L74" s="1">
        <v>38634</v>
      </c>
    </row>
    <row r="75" spans="1:12" x14ac:dyDescent="0.2">
      <c r="A75" t="s">
        <v>173</v>
      </c>
      <c r="B75" t="s">
        <v>174</v>
      </c>
      <c r="C75" t="s">
        <v>175</v>
      </c>
      <c r="D75" t="s">
        <v>30</v>
      </c>
      <c r="E75" s="1">
        <v>100000</v>
      </c>
      <c r="L75" s="1">
        <v>100000</v>
      </c>
    </row>
    <row r="76" spans="1:12" x14ac:dyDescent="0.2">
      <c r="A76" t="s">
        <v>176</v>
      </c>
      <c r="B76" t="s">
        <v>174</v>
      </c>
      <c r="C76" t="s">
        <v>177</v>
      </c>
      <c r="D76" t="s">
        <v>54</v>
      </c>
      <c r="E76" s="1">
        <v>45000</v>
      </c>
      <c r="L76" s="1">
        <v>45000</v>
      </c>
    </row>
    <row r="77" spans="1:12" x14ac:dyDescent="0.2">
      <c r="A77" t="s">
        <v>178</v>
      </c>
      <c r="B77" t="s">
        <v>174</v>
      </c>
      <c r="C77" t="s">
        <v>177</v>
      </c>
      <c r="D77" t="s">
        <v>54</v>
      </c>
      <c r="E77" s="1">
        <v>15125</v>
      </c>
      <c r="L77" s="1">
        <v>15125</v>
      </c>
    </row>
    <row r="78" spans="1:12" x14ac:dyDescent="0.2">
      <c r="A78" t="s">
        <v>179</v>
      </c>
      <c r="B78" t="s">
        <v>174</v>
      </c>
      <c r="C78" t="s">
        <v>177</v>
      </c>
      <c r="D78" t="s">
        <v>54</v>
      </c>
      <c r="E78">
        <v>602.71</v>
      </c>
      <c r="L78">
        <v>602.71</v>
      </c>
    </row>
    <row r="79" spans="1:12" x14ac:dyDescent="0.2">
      <c r="A79" t="s">
        <v>180</v>
      </c>
      <c r="B79" t="s">
        <v>181</v>
      </c>
      <c r="C79" t="s">
        <v>182</v>
      </c>
      <c r="D79" t="s">
        <v>26</v>
      </c>
      <c r="K79" s="1">
        <v>174790</v>
      </c>
      <c r="L79" s="1">
        <v>174790</v>
      </c>
    </row>
    <row r="80" spans="1:12" x14ac:dyDescent="0.2">
      <c r="A80" t="s">
        <v>183</v>
      </c>
      <c r="B80" t="s">
        <v>184</v>
      </c>
      <c r="C80" t="s">
        <v>185</v>
      </c>
      <c r="D80" t="s">
        <v>64</v>
      </c>
      <c r="I80" s="1">
        <v>50000</v>
      </c>
      <c r="L80" s="1">
        <v>50000</v>
      </c>
    </row>
    <row r="81" spans="1:12" x14ac:dyDescent="0.2">
      <c r="A81" t="s">
        <v>186</v>
      </c>
      <c r="B81" t="s">
        <v>184</v>
      </c>
      <c r="C81" t="s">
        <v>187</v>
      </c>
      <c r="D81" t="s">
        <v>26</v>
      </c>
      <c r="H81" s="1">
        <v>41680</v>
      </c>
      <c r="L81" s="1">
        <v>41680</v>
      </c>
    </row>
    <row r="82" spans="1:12" x14ac:dyDescent="0.2">
      <c r="A82" t="s">
        <v>188</v>
      </c>
      <c r="B82" t="s">
        <v>189</v>
      </c>
      <c r="C82" t="s">
        <v>190</v>
      </c>
      <c r="D82" t="s">
        <v>26</v>
      </c>
      <c r="H82" s="1">
        <v>8809.74</v>
      </c>
      <c r="L82" s="1">
        <v>8809.74</v>
      </c>
    </row>
    <row r="83" spans="1:12" x14ac:dyDescent="0.2">
      <c r="A83" t="s">
        <v>191</v>
      </c>
      <c r="B83" t="s">
        <v>189</v>
      </c>
      <c r="C83" t="s">
        <v>190</v>
      </c>
      <c r="D83" t="s">
        <v>26</v>
      </c>
      <c r="H83" s="1">
        <v>40000</v>
      </c>
      <c r="L83" s="1">
        <v>40000</v>
      </c>
    </row>
    <row r="84" spans="1:12" x14ac:dyDescent="0.2">
      <c r="A84" t="s">
        <v>192</v>
      </c>
      <c r="B84" t="s">
        <v>193</v>
      </c>
      <c r="C84" t="s">
        <v>194</v>
      </c>
      <c r="D84" t="s">
        <v>48</v>
      </c>
      <c r="H84" s="1">
        <v>50603</v>
      </c>
      <c r="L84" s="1">
        <v>50603</v>
      </c>
    </row>
    <row r="85" spans="1:12" x14ac:dyDescent="0.2">
      <c r="A85" t="s">
        <v>195</v>
      </c>
      <c r="B85" t="s">
        <v>196</v>
      </c>
      <c r="C85" t="s">
        <v>197</v>
      </c>
      <c r="D85" t="s">
        <v>101</v>
      </c>
      <c r="H85" s="1">
        <v>50000</v>
      </c>
      <c r="L85" s="1">
        <v>50000</v>
      </c>
    </row>
    <row r="86" spans="1:12" x14ac:dyDescent="0.2">
      <c r="A86" t="s">
        <v>198</v>
      </c>
      <c r="B86" t="s">
        <v>196</v>
      </c>
      <c r="C86" t="s">
        <v>199</v>
      </c>
      <c r="D86" t="s">
        <v>30</v>
      </c>
      <c r="H86" s="1">
        <v>50000</v>
      </c>
      <c r="L86" s="1">
        <v>50000</v>
      </c>
    </row>
    <row r="87" spans="1:12" x14ac:dyDescent="0.2">
      <c r="A87" t="s">
        <v>200</v>
      </c>
      <c r="B87" t="s">
        <v>196</v>
      </c>
      <c r="C87" t="s">
        <v>199</v>
      </c>
      <c r="D87" t="s">
        <v>101</v>
      </c>
      <c r="E87" s="1">
        <v>148519.01999999999</v>
      </c>
      <c r="L87" s="1">
        <v>148519.01999999999</v>
      </c>
    </row>
    <row r="88" spans="1:12" x14ac:dyDescent="0.2">
      <c r="A88" t="s">
        <v>201</v>
      </c>
      <c r="B88" t="s">
        <v>196</v>
      </c>
      <c r="C88" t="s">
        <v>199</v>
      </c>
      <c r="D88" t="s">
        <v>101</v>
      </c>
      <c r="E88" s="1">
        <v>150000</v>
      </c>
      <c r="L88" s="1">
        <v>150000</v>
      </c>
    </row>
    <row r="89" spans="1:12" x14ac:dyDescent="0.2">
      <c r="A89" t="s">
        <v>202</v>
      </c>
      <c r="B89" t="s">
        <v>196</v>
      </c>
      <c r="C89" t="s">
        <v>197</v>
      </c>
      <c r="D89" t="s">
        <v>203</v>
      </c>
      <c r="E89" s="1">
        <v>52524</v>
      </c>
      <c r="L89" s="1">
        <v>52524</v>
      </c>
    </row>
    <row r="90" spans="1:12" x14ac:dyDescent="0.2">
      <c r="A90" t="s">
        <v>204</v>
      </c>
      <c r="B90" t="s">
        <v>205</v>
      </c>
      <c r="C90" t="s">
        <v>206</v>
      </c>
      <c r="D90" t="s">
        <v>15</v>
      </c>
      <c r="H90" s="1">
        <v>40000</v>
      </c>
      <c r="L90" s="1">
        <v>40000</v>
      </c>
    </row>
    <row r="91" spans="1:12" x14ac:dyDescent="0.2">
      <c r="A91" t="s">
        <v>207</v>
      </c>
      <c r="B91" t="s">
        <v>205</v>
      </c>
      <c r="C91" t="s">
        <v>208</v>
      </c>
      <c r="D91" t="s">
        <v>64</v>
      </c>
      <c r="I91" s="1">
        <v>87000</v>
      </c>
      <c r="L91" s="1">
        <v>87000</v>
      </c>
    </row>
    <row r="92" spans="1:12" x14ac:dyDescent="0.2">
      <c r="A92" t="s">
        <v>209</v>
      </c>
      <c r="B92" t="s">
        <v>205</v>
      </c>
      <c r="C92" t="s">
        <v>210</v>
      </c>
      <c r="D92" t="s">
        <v>26</v>
      </c>
      <c r="H92" s="1">
        <v>375000</v>
      </c>
      <c r="L92" s="1">
        <v>375000</v>
      </c>
    </row>
    <row r="93" spans="1:12" x14ac:dyDescent="0.2">
      <c r="A93" t="s">
        <v>211</v>
      </c>
      <c r="B93" t="s">
        <v>212</v>
      </c>
      <c r="C93" t="s">
        <v>213</v>
      </c>
      <c r="D93" t="s">
        <v>203</v>
      </c>
      <c r="E93" s="1">
        <v>100000</v>
      </c>
      <c r="L93" s="1">
        <v>100000</v>
      </c>
    </row>
    <row r="94" spans="1:12" x14ac:dyDescent="0.2">
      <c r="A94" t="s">
        <v>214</v>
      </c>
      <c r="B94" t="s">
        <v>212</v>
      </c>
      <c r="C94" t="s">
        <v>213</v>
      </c>
      <c r="D94" t="s">
        <v>203</v>
      </c>
      <c r="H94" s="1">
        <v>14386.75</v>
      </c>
      <c r="L94" s="1">
        <v>14386.75</v>
      </c>
    </row>
    <row r="95" spans="1:12" x14ac:dyDescent="0.2">
      <c r="A95" t="s">
        <v>215</v>
      </c>
      <c r="B95" t="s">
        <v>216</v>
      </c>
      <c r="C95" t="s">
        <v>217</v>
      </c>
      <c r="D95" t="s">
        <v>68</v>
      </c>
      <c r="H95" s="1">
        <v>50000</v>
      </c>
      <c r="L95" s="1">
        <v>50000</v>
      </c>
    </row>
    <row r="96" spans="1:12" x14ac:dyDescent="0.2">
      <c r="A96" t="s">
        <v>218</v>
      </c>
      <c r="B96" t="s">
        <v>216</v>
      </c>
      <c r="C96" t="s">
        <v>217</v>
      </c>
      <c r="D96" t="s">
        <v>219</v>
      </c>
      <c r="E96" s="1">
        <v>475316</v>
      </c>
      <c r="H96" s="1">
        <v>200000</v>
      </c>
      <c r="K96" s="1">
        <v>232471.21</v>
      </c>
      <c r="L96" s="1">
        <v>907787.21</v>
      </c>
    </row>
    <row r="97" spans="1:12" x14ac:dyDescent="0.2">
      <c r="A97" t="s">
        <v>220</v>
      </c>
      <c r="B97" t="s">
        <v>216</v>
      </c>
      <c r="C97" t="s">
        <v>221</v>
      </c>
      <c r="D97" t="s">
        <v>222</v>
      </c>
      <c r="J97" s="1">
        <v>80000</v>
      </c>
      <c r="L97" s="1">
        <v>80000</v>
      </c>
    </row>
    <row r="98" spans="1:12" x14ac:dyDescent="0.2">
      <c r="A98" t="s">
        <v>223</v>
      </c>
      <c r="B98" t="s">
        <v>216</v>
      </c>
      <c r="C98" t="s">
        <v>224</v>
      </c>
      <c r="D98" t="s">
        <v>219</v>
      </c>
      <c r="K98">
        <v>0</v>
      </c>
      <c r="L98">
        <v>0</v>
      </c>
    </row>
    <row r="99" spans="1:12" x14ac:dyDescent="0.2">
      <c r="A99" t="s">
        <v>225</v>
      </c>
      <c r="B99" t="s">
        <v>226</v>
      </c>
      <c r="C99" t="s">
        <v>227</v>
      </c>
      <c r="D99" t="s">
        <v>48</v>
      </c>
      <c r="G99" s="1">
        <v>360000</v>
      </c>
      <c r="L99" s="1">
        <v>360000</v>
      </c>
    </row>
    <row r="100" spans="1:12" x14ac:dyDescent="0.2">
      <c r="A100" t="s">
        <v>228</v>
      </c>
      <c r="B100" t="s">
        <v>226</v>
      </c>
      <c r="C100" t="s">
        <v>229</v>
      </c>
      <c r="D100" t="s">
        <v>203</v>
      </c>
      <c r="K100" s="1">
        <v>21936.45</v>
      </c>
      <c r="L100" s="1">
        <v>21936.45</v>
      </c>
    </row>
    <row r="101" spans="1:12" x14ac:dyDescent="0.2">
      <c r="A101" t="s">
        <v>230</v>
      </c>
      <c r="B101" t="s">
        <v>231</v>
      </c>
      <c r="C101" t="s">
        <v>232</v>
      </c>
      <c r="D101" t="s">
        <v>26</v>
      </c>
      <c r="H101" s="1">
        <v>27467</v>
      </c>
      <c r="L101" s="1">
        <v>27467</v>
      </c>
    </row>
    <row r="102" spans="1:12" x14ac:dyDescent="0.2">
      <c r="A102" t="s">
        <v>233</v>
      </c>
      <c r="B102" t="s">
        <v>234</v>
      </c>
      <c r="C102" t="s">
        <v>235</v>
      </c>
      <c r="D102" t="s">
        <v>21</v>
      </c>
      <c r="E102" s="1">
        <v>1209800</v>
      </c>
      <c r="L102" s="1">
        <v>1209800</v>
      </c>
    </row>
    <row r="103" spans="1:12" x14ac:dyDescent="0.2">
      <c r="A103" t="s">
        <v>236</v>
      </c>
      <c r="B103" t="s">
        <v>234</v>
      </c>
      <c r="C103" t="s">
        <v>237</v>
      </c>
      <c r="D103" t="s">
        <v>121</v>
      </c>
      <c r="F103" s="1">
        <v>479350</v>
      </c>
      <c r="L103" s="1">
        <v>479350</v>
      </c>
    </row>
    <row r="104" spans="1:12" x14ac:dyDescent="0.2">
      <c r="A104" t="s">
        <v>238</v>
      </c>
      <c r="B104" t="s">
        <v>234</v>
      </c>
      <c r="C104" t="s">
        <v>235</v>
      </c>
      <c r="D104" t="s">
        <v>21</v>
      </c>
      <c r="E104" s="1">
        <v>224475</v>
      </c>
      <c r="L104" s="1">
        <v>224475</v>
      </c>
    </row>
    <row r="105" spans="1:12" x14ac:dyDescent="0.2">
      <c r="A105" t="s">
        <v>239</v>
      </c>
      <c r="B105" t="s">
        <v>234</v>
      </c>
      <c r="C105" t="s">
        <v>240</v>
      </c>
      <c r="D105" t="s">
        <v>21</v>
      </c>
      <c r="H105" s="1">
        <v>50000</v>
      </c>
      <c r="L105" s="1">
        <v>50000</v>
      </c>
    </row>
    <row r="106" spans="1:12" x14ac:dyDescent="0.2">
      <c r="A106" t="s">
        <v>241</v>
      </c>
      <c r="B106" t="s">
        <v>234</v>
      </c>
      <c r="C106" t="s">
        <v>240</v>
      </c>
      <c r="D106" t="s">
        <v>64</v>
      </c>
      <c r="I106" s="1">
        <v>52176</v>
      </c>
      <c r="L106" s="1">
        <v>52176</v>
      </c>
    </row>
    <row r="107" spans="1:12" x14ac:dyDescent="0.2">
      <c r="A107" t="s">
        <v>242</v>
      </c>
      <c r="B107" t="s">
        <v>234</v>
      </c>
      <c r="C107" t="s">
        <v>243</v>
      </c>
      <c r="D107" t="s">
        <v>203</v>
      </c>
      <c r="E107" s="1">
        <v>75000</v>
      </c>
      <c r="L107" s="1">
        <v>75000</v>
      </c>
    </row>
    <row r="108" spans="1:12" x14ac:dyDescent="0.2">
      <c r="A108" t="s">
        <v>244</v>
      </c>
      <c r="B108" t="s">
        <v>234</v>
      </c>
      <c r="C108" t="s">
        <v>240</v>
      </c>
      <c r="D108" t="s">
        <v>26</v>
      </c>
      <c r="H108" s="1">
        <v>58976.82</v>
      </c>
      <c r="L108" s="1">
        <v>58976.82</v>
      </c>
    </row>
    <row r="109" spans="1:12" x14ac:dyDescent="0.2">
      <c r="A109" t="s">
        <v>245</v>
      </c>
      <c r="B109" t="s">
        <v>246</v>
      </c>
      <c r="C109" t="s">
        <v>247</v>
      </c>
      <c r="D109" t="s">
        <v>101</v>
      </c>
      <c r="E109" s="1">
        <v>6708.25</v>
      </c>
      <c r="L109" s="1">
        <v>6708.25</v>
      </c>
    </row>
    <row r="110" spans="1:12" x14ac:dyDescent="0.2">
      <c r="A110" t="s">
        <v>248</v>
      </c>
      <c r="B110" t="s">
        <v>246</v>
      </c>
      <c r="C110" t="s">
        <v>247</v>
      </c>
      <c r="D110" t="s">
        <v>101</v>
      </c>
      <c r="H110" s="1">
        <v>50000</v>
      </c>
      <c r="L110" s="1">
        <v>50000</v>
      </c>
    </row>
    <row r="111" spans="1:12" x14ac:dyDescent="0.2">
      <c r="A111" t="s">
        <v>249</v>
      </c>
      <c r="B111" t="s">
        <v>246</v>
      </c>
      <c r="C111" t="s">
        <v>247</v>
      </c>
      <c r="D111" t="s">
        <v>30</v>
      </c>
      <c r="E111" s="1">
        <v>51250</v>
      </c>
      <c r="L111" s="1">
        <v>51250</v>
      </c>
    </row>
    <row r="112" spans="1:12" x14ac:dyDescent="0.2">
      <c r="A112" t="s">
        <v>250</v>
      </c>
      <c r="B112" t="s">
        <v>246</v>
      </c>
      <c r="C112" t="s">
        <v>251</v>
      </c>
      <c r="D112" t="s">
        <v>26</v>
      </c>
      <c r="H112" s="1">
        <v>168362</v>
      </c>
      <c r="L112" s="1">
        <v>168362</v>
      </c>
    </row>
    <row r="113" spans="1:12" x14ac:dyDescent="0.2">
      <c r="A113" t="s">
        <v>252</v>
      </c>
      <c r="B113" t="s">
        <v>246</v>
      </c>
      <c r="C113" t="s">
        <v>251</v>
      </c>
      <c r="D113" t="s">
        <v>26</v>
      </c>
      <c r="H113" s="1">
        <v>189433</v>
      </c>
      <c r="L113" s="1">
        <v>189433</v>
      </c>
    </row>
    <row r="114" spans="1:12" x14ac:dyDescent="0.2">
      <c r="A114" t="s">
        <v>253</v>
      </c>
      <c r="B114" t="s">
        <v>254</v>
      </c>
      <c r="C114" t="s">
        <v>255</v>
      </c>
      <c r="D114" t="s">
        <v>256</v>
      </c>
      <c r="J114" s="1">
        <v>50000</v>
      </c>
      <c r="L114" s="1">
        <v>50000</v>
      </c>
    </row>
    <row r="115" spans="1:12" x14ac:dyDescent="0.2">
      <c r="A115" t="s">
        <v>257</v>
      </c>
      <c r="B115" t="s">
        <v>254</v>
      </c>
      <c r="C115" t="s">
        <v>255</v>
      </c>
      <c r="D115" t="s">
        <v>256</v>
      </c>
      <c r="H115" s="1">
        <v>30000</v>
      </c>
      <c r="L115" s="1">
        <v>30000</v>
      </c>
    </row>
    <row r="116" spans="1:12" x14ac:dyDescent="0.2">
      <c r="A116" t="s">
        <v>258</v>
      </c>
      <c r="B116" t="s">
        <v>259</v>
      </c>
      <c r="C116" t="s">
        <v>260</v>
      </c>
      <c r="D116" t="s">
        <v>203</v>
      </c>
      <c r="E116" s="1">
        <v>14000</v>
      </c>
      <c r="L116" s="1">
        <v>14000</v>
      </c>
    </row>
    <row r="117" spans="1:12" x14ac:dyDescent="0.2">
      <c r="A117" t="s">
        <v>261</v>
      </c>
      <c r="B117" t="s">
        <v>259</v>
      </c>
      <c r="C117" t="s">
        <v>262</v>
      </c>
      <c r="D117" t="s">
        <v>203</v>
      </c>
      <c r="H117" s="1">
        <v>14000</v>
      </c>
      <c r="L117" s="1">
        <v>14000</v>
      </c>
    </row>
    <row r="118" spans="1:12" x14ac:dyDescent="0.2">
      <c r="A118" t="s">
        <v>263</v>
      </c>
      <c r="B118" t="s">
        <v>264</v>
      </c>
      <c r="C118" t="s">
        <v>265</v>
      </c>
      <c r="D118" t="s">
        <v>64</v>
      </c>
      <c r="I118" s="1">
        <v>81116</v>
      </c>
      <c r="L118" s="1">
        <v>81116</v>
      </c>
    </row>
    <row r="119" spans="1:12" x14ac:dyDescent="0.2">
      <c r="A119" t="s">
        <v>266</v>
      </c>
      <c r="B119" t="s">
        <v>264</v>
      </c>
      <c r="C119" t="s">
        <v>267</v>
      </c>
      <c r="D119" t="s">
        <v>101</v>
      </c>
      <c r="H119" s="1">
        <v>70000</v>
      </c>
      <c r="L119" s="1">
        <v>70000</v>
      </c>
    </row>
    <row r="120" spans="1:12" x14ac:dyDescent="0.2">
      <c r="A120" t="s">
        <v>268</v>
      </c>
      <c r="B120" t="s">
        <v>269</v>
      </c>
      <c r="C120" t="s">
        <v>270</v>
      </c>
      <c r="D120" t="s">
        <v>15</v>
      </c>
      <c r="E120" s="1">
        <v>121643.4</v>
      </c>
      <c r="L120" s="1">
        <v>121643.4</v>
      </c>
    </row>
    <row r="121" spans="1:12" x14ac:dyDescent="0.2">
      <c r="A121" t="s">
        <v>271</v>
      </c>
      <c r="B121" t="s">
        <v>269</v>
      </c>
      <c r="C121" t="s">
        <v>272</v>
      </c>
      <c r="D121" t="s">
        <v>15</v>
      </c>
      <c r="E121" s="1">
        <v>82720</v>
      </c>
      <c r="G121" s="1">
        <v>559298</v>
      </c>
      <c r="L121" s="1">
        <v>642018</v>
      </c>
    </row>
    <row r="122" spans="1:12" x14ac:dyDescent="0.2">
      <c r="A122" t="s">
        <v>273</v>
      </c>
      <c r="B122" t="s">
        <v>269</v>
      </c>
      <c r="C122" t="s">
        <v>272</v>
      </c>
      <c r="D122" t="s">
        <v>15</v>
      </c>
      <c r="G122" s="1">
        <v>207245.01</v>
      </c>
      <c r="L122" s="1">
        <v>207245.01</v>
      </c>
    </row>
    <row r="123" spans="1:12" x14ac:dyDescent="0.2">
      <c r="A123" t="s">
        <v>274</v>
      </c>
      <c r="B123" t="s">
        <v>269</v>
      </c>
      <c r="C123" t="s">
        <v>272</v>
      </c>
      <c r="D123" t="s">
        <v>15</v>
      </c>
      <c r="E123" s="1">
        <v>410000</v>
      </c>
      <c r="L123" s="1">
        <v>410000</v>
      </c>
    </row>
    <row r="124" spans="1:12" x14ac:dyDescent="0.2">
      <c r="A124" t="s">
        <v>275</v>
      </c>
      <c r="B124" t="s">
        <v>276</v>
      </c>
      <c r="C124" t="s">
        <v>277</v>
      </c>
      <c r="D124" t="s">
        <v>54</v>
      </c>
      <c r="J124" s="1">
        <v>38036.769999999997</v>
      </c>
      <c r="L124" s="1">
        <v>38036.769999999997</v>
      </c>
    </row>
    <row r="125" spans="1:12" x14ac:dyDescent="0.2">
      <c r="A125" t="s">
        <v>278</v>
      </c>
      <c r="B125" t="s">
        <v>276</v>
      </c>
      <c r="C125" t="s">
        <v>277</v>
      </c>
      <c r="D125" t="s">
        <v>54</v>
      </c>
      <c r="J125" s="1">
        <v>50000</v>
      </c>
      <c r="L125" s="1">
        <v>50000</v>
      </c>
    </row>
    <row r="126" spans="1:12" x14ac:dyDescent="0.2">
      <c r="A126" t="s">
        <v>279</v>
      </c>
      <c r="B126" t="s">
        <v>280</v>
      </c>
      <c r="C126" t="s">
        <v>281</v>
      </c>
      <c r="D126" t="s">
        <v>30</v>
      </c>
      <c r="E126" s="1">
        <v>18763.04</v>
      </c>
      <c r="L126" s="1">
        <v>18763.04</v>
      </c>
    </row>
    <row r="127" spans="1:12" x14ac:dyDescent="0.2">
      <c r="A127" t="s">
        <v>282</v>
      </c>
      <c r="B127" t="s">
        <v>280</v>
      </c>
      <c r="C127" t="s">
        <v>281</v>
      </c>
      <c r="D127" t="s">
        <v>146</v>
      </c>
      <c r="J127" s="1">
        <v>75000</v>
      </c>
      <c r="L127" s="1">
        <v>75000</v>
      </c>
    </row>
    <row r="128" spans="1:12" x14ac:dyDescent="0.2">
      <c r="A128" t="s">
        <v>283</v>
      </c>
      <c r="B128" t="s">
        <v>280</v>
      </c>
      <c r="C128" t="s">
        <v>281</v>
      </c>
      <c r="D128" t="s">
        <v>30</v>
      </c>
      <c r="E128" s="1">
        <v>91000</v>
      </c>
      <c r="L128" s="1">
        <v>91000</v>
      </c>
    </row>
    <row r="129" spans="1:12" x14ac:dyDescent="0.2">
      <c r="A129" t="s">
        <v>284</v>
      </c>
      <c r="B129" t="s">
        <v>280</v>
      </c>
      <c r="C129" t="s">
        <v>281</v>
      </c>
      <c r="D129" t="s">
        <v>203</v>
      </c>
      <c r="E129" s="1">
        <v>61900.13</v>
      </c>
      <c r="L129" s="1">
        <v>61900.13</v>
      </c>
    </row>
    <row r="130" spans="1:12" x14ac:dyDescent="0.2">
      <c r="A130" t="s">
        <v>285</v>
      </c>
      <c r="B130" t="s">
        <v>280</v>
      </c>
      <c r="C130" t="s">
        <v>281</v>
      </c>
      <c r="D130" t="s">
        <v>203</v>
      </c>
      <c r="E130" s="1">
        <v>20700</v>
      </c>
      <c r="L130" s="1">
        <v>20700</v>
      </c>
    </row>
    <row r="131" spans="1:12" x14ac:dyDescent="0.2">
      <c r="A131" t="s">
        <v>286</v>
      </c>
      <c r="B131" t="s">
        <v>287</v>
      </c>
      <c r="C131" t="s">
        <v>288</v>
      </c>
      <c r="D131" t="s">
        <v>30</v>
      </c>
      <c r="E131" s="1">
        <v>92250</v>
      </c>
      <c r="L131" s="1">
        <v>92250</v>
      </c>
    </row>
    <row r="132" spans="1:12" x14ac:dyDescent="0.2">
      <c r="A132" t="s">
        <v>289</v>
      </c>
      <c r="B132" t="s">
        <v>290</v>
      </c>
      <c r="C132" t="s">
        <v>291</v>
      </c>
      <c r="D132" t="s">
        <v>30</v>
      </c>
      <c r="H132" s="1">
        <v>70000</v>
      </c>
      <c r="L132" s="1">
        <v>70000</v>
      </c>
    </row>
    <row r="133" spans="1:12" x14ac:dyDescent="0.2">
      <c r="A133" t="s">
        <v>292</v>
      </c>
      <c r="B133" t="s">
        <v>290</v>
      </c>
      <c r="C133" t="s">
        <v>291</v>
      </c>
      <c r="D133" t="s">
        <v>30</v>
      </c>
      <c r="E133" s="1">
        <v>92942</v>
      </c>
      <c r="L133" s="1">
        <v>92942</v>
      </c>
    </row>
    <row r="134" spans="1:12" x14ac:dyDescent="0.2">
      <c r="A134" t="s">
        <v>293</v>
      </c>
      <c r="B134" t="s">
        <v>294</v>
      </c>
      <c r="C134" t="s">
        <v>295</v>
      </c>
      <c r="D134" t="s">
        <v>64</v>
      </c>
      <c r="I134" s="1">
        <v>55000</v>
      </c>
      <c r="L134" s="1">
        <v>55000</v>
      </c>
    </row>
    <row r="135" spans="1:12" x14ac:dyDescent="0.2">
      <c r="A135" t="s">
        <v>296</v>
      </c>
      <c r="B135" t="s">
        <v>294</v>
      </c>
      <c r="C135" t="s">
        <v>295</v>
      </c>
      <c r="D135" t="s">
        <v>26</v>
      </c>
      <c r="H135" s="1">
        <v>70000</v>
      </c>
      <c r="L135" s="1">
        <v>70000</v>
      </c>
    </row>
    <row r="136" spans="1:12" x14ac:dyDescent="0.2">
      <c r="A136" t="s">
        <v>297</v>
      </c>
      <c r="B136" t="s">
        <v>298</v>
      </c>
      <c r="C136" t="s">
        <v>299</v>
      </c>
      <c r="D136" t="s">
        <v>101</v>
      </c>
      <c r="E136" s="1">
        <v>52275</v>
      </c>
      <c r="L136" s="1">
        <v>52275</v>
      </c>
    </row>
    <row r="137" spans="1:12" x14ac:dyDescent="0.2">
      <c r="A137" t="s">
        <v>300</v>
      </c>
      <c r="B137" t="s">
        <v>301</v>
      </c>
      <c r="C137" t="s">
        <v>302</v>
      </c>
      <c r="D137" t="s">
        <v>48</v>
      </c>
      <c r="G137" s="1">
        <v>175000</v>
      </c>
      <c r="L137" s="1">
        <v>175000</v>
      </c>
    </row>
    <row r="138" spans="1:12" x14ac:dyDescent="0.2">
      <c r="A138" t="s">
        <v>303</v>
      </c>
      <c r="B138" t="s">
        <v>304</v>
      </c>
      <c r="C138" t="s">
        <v>305</v>
      </c>
      <c r="D138" t="s">
        <v>101</v>
      </c>
      <c r="E138" s="1">
        <v>15847.47</v>
      </c>
      <c r="L138" s="1">
        <v>15847.47</v>
      </c>
    </row>
    <row r="139" spans="1:12" x14ac:dyDescent="0.2">
      <c r="A139" t="s">
        <v>306</v>
      </c>
      <c r="B139" t="s">
        <v>304</v>
      </c>
      <c r="C139" t="s">
        <v>307</v>
      </c>
      <c r="D139" t="s">
        <v>101</v>
      </c>
      <c r="E139" s="1">
        <v>26747</v>
      </c>
      <c r="L139" s="1">
        <v>26747</v>
      </c>
    </row>
    <row r="140" spans="1:12" x14ac:dyDescent="0.2">
      <c r="A140" t="s">
        <v>308</v>
      </c>
      <c r="B140" t="s">
        <v>304</v>
      </c>
      <c r="C140" t="s">
        <v>309</v>
      </c>
      <c r="D140" t="s">
        <v>310</v>
      </c>
      <c r="I140" s="1">
        <v>55000</v>
      </c>
      <c r="L140" s="1">
        <v>55000</v>
      </c>
    </row>
    <row r="141" spans="1:12" x14ac:dyDescent="0.2">
      <c r="A141" t="s">
        <v>311</v>
      </c>
      <c r="B141" t="s">
        <v>304</v>
      </c>
      <c r="C141" t="s">
        <v>312</v>
      </c>
      <c r="D141" t="s">
        <v>101</v>
      </c>
      <c r="E141" s="1">
        <v>51250</v>
      </c>
      <c r="L141" s="1">
        <v>51250</v>
      </c>
    </row>
    <row r="142" spans="1:12" x14ac:dyDescent="0.2">
      <c r="A142" t="s">
        <v>313</v>
      </c>
      <c r="B142" t="s">
        <v>314</v>
      </c>
      <c r="C142" t="s">
        <v>315</v>
      </c>
      <c r="D142" t="s">
        <v>64</v>
      </c>
      <c r="I142" s="1">
        <v>50000</v>
      </c>
      <c r="L142" s="1">
        <v>50000</v>
      </c>
    </row>
    <row r="143" spans="1:12" x14ac:dyDescent="0.2">
      <c r="A143" t="s">
        <v>316</v>
      </c>
      <c r="B143" t="s">
        <v>314</v>
      </c>
      <c r="C143" t="s">
        <v>317</v>
      </c>
      <c r="D143" t="s">
        <v>15</v>
      </c>
      <c r="H143" s="1">
        <v>40000</v>
      </c>
      <c r="I143" s="1">
        <v>43333</v>
      </c>
      <c r="L143" s="1">
        <v>83333</v>
      </c>
    </row>
    <row r="144" spans="1:12" x14ac:dyDescent="0.2">
      <c r="A144" t="s">
        <v>318</v>
      </c>
      <c r="B144" t="s">
        <v>314</v>
      </c>
      <c r="C144" t="s">
        <v>319</v>
      </c>
      <c r="D144" t="s">
        <v>15</v>
      </c>
      <c r="I144" s="1">
        <v>87274</v>
      </c>
      <c r="L144" s="1">
        <v>87274</v>
      </c>
    </row>
    <row r="145" spans="1:12" x14ac:dyDescent="0.2">
      <c r="A145" t="s">
        <v>320</v>
      </c>
      <c r="B145" t="s">
        <v>321</v>
      </c>
      <c r="C145" t="s">
        <v>322</v>
      </c>
      <c r="D145" t="s">
        <v>30</v>
      </c>
      <c r="H145" s="1">
        <v>50000</v>
      </c>
      <c r="L145" s="1">
        <v>50000</v>
      </c>
    </row>
    <row r="146" spans="1:12" x14ac:dyDescent="0.2">
      <c r="A146" t="s">
        <v>323</v>
      </c>
      <c r="B146" t="s">
        <v>324</v>
      </c>
      <c r="C146" t="s">
        <v>325</v>
      </c>
      <c r="D146" t="s">
        <v>64</v>
      </c>
      <c r="I146" s="1">
        <v>50000</v>
      </c>
      <c r="L146" s="1">
        <v>50000</v>
      </c>
    </row>
    <row r="147" spans="1:12" x14ac:dyDescent="0.2">
      <c r="A147" t="s">
        <v>326</v>
      </c>
      <c r="B147" t="s">
        <v>324</v>
      </c>
      <c r="C147" t="s">
        <v>325</v>
      </c>
      <c r="D147" t="s">
        <v>203</v>
      </c>
      <c r="E147" s="1">
        <v>41398</v>
      </c>
      <c r="L147" s="1">
        <v>41398</v>
      </c>
    </row>
    <row r="148" spans="1:12" x14ac:dyDescent="0.2">
      <c r="A148" t="s">
        <v>327</v>
      </c>
      <c r="B148" t="s">
        <v>328</v>
      </c>
      <c r="C148" t="s">
        <v>329</v>
      </c>
      <c r="D148" t="s">
        <v>222</v>
      </c>
      <c r="H148" s="1">
        <v>65000</v>
      </c>
      <c r="L148" s="1">
        <v>65000</v>
      </c>
    </row>
    <row r="149" spans="1:12" x14ac:dyDescent="0.2">
      <c r="A149" t="s">
        <v>330</v>
      </c>
      <c r="B149" t="s">
        <v>331</v>
      </c>
      <c r="C149" t="s">
        <v>332</v>
      </c>
      <c r="D149" t="s">
        <v>68</v>
      </c>
      <c r="G149" s="1">
        <v>79648.98</v>
      </c>
      <c r="L149" s="1">
        <v>79648.98</v>
      </c>
    </row>
    <row r="150" spans="1:12" x14ac:dyDescent="0.2">
      <c r="A150" t="s">
        <v>333</v>
      </c>
      <c r="B150" t="s">
        <v>331</v>
      </c>
      <c r="C150" t="s">
        <v>334</v>
      </c>
      <c r="D150" t="s">
        <v>68</v>
      </c>
      <c r="G150" s="1">
        <v>175000</v>
      </c>
      <c r="L150" s="1">
        <v>175000</v>
      </c>
    </row>
    <row r="151" spans="1:12" x14ac:dyDescent="0.2">
      <c r="A151" t="s">
        <v>335</v>
      </c>
      <c r="B151" t="s">
        <v>331</v>
      </c>
      <c r="C151" t="s">
        <v>332</v>
      </c>
      <c r="D151" t="s">
        <v>68</v>
      </c>
      <c r="G151" s="1">
        <v>12415.88</v>
      </c>
      <c r="L151" s="1">
        <v>12415.88</v>
      </c>
    </row>
    <row r="152" spans="1:12" x14ac:dyDescent="0.2">
      <c r="A152" t="s">
        <v>336</v>
      </c>
      <c r="B152" t="s">
        <v>331</v>
      </c>
      <c r="C152" t="s">
        <v>334</v>
      </c>
      <c r="D152" t="s">
        <v>203</v>
      </c>
      <c r="H152" s="1">
        <v>45000</v>
      </c>
      <c r="L152" s="1">
        <v>45000</v>
      </c>
    </row>
    <row r="153" spans="1:12" x14ac:dyDescent="0.2">
      <c r="A153" t="s">
        <v>337</v>
      </c>
      <c r="B153" t="s">
        <v>338</v>
      </c>
      <c r="C153" t="s">
        <v>339</v>
      </c>
      <c r="D153" t="s">
        <v>101</v>
      </c>
      <c r="H153" s="1">
        <v>50000</v>
      </c>
      <c r="L153" s="1">
        <v>50000</v>
      </c>
    </row>
    <row r="154" spans="1:12" x14ac:dyDescent="0.2">
      <c r="A154" t="s">
        <v>340</v>
      </c>
      <c r="B154" t="s">
        <v>341</v>
      </c>
      <c r="C154" t="s">
        <v>342</v>
      </c>
      <c r="D154" t="s">
        <v>68</v>
      </c>
      <c r="H154" s="1">
        <v>50000</v>
      </c>
      <c r="L154" s="1">
        <v>50000</v>
      </c>
    </row>
    <row r="155" spans="1:12" x14ac:dyDescent="0.2">
      <c r="A155" t="s">
        <v>343</v>
      </c>
      <c r="B155" t="s">
        <v>344</v>
      </c>
      <c r="C155" t="s">
        <v>345</v>
      </c>
      <c r="D155" t="s">
        <v>222</v>
      </c>
      <c r="G155" s="1">
        <v>20000</v>
      </c>
      <c r="H155" s="1">
        <v>35000</v>
      </c>
      <c r="L155" s="1">
        <v>55000</v>
      </c>
    </row>
    <row r="156" spans="1:12" x14ac:dyDescent="0.2">
      <c r="A156" t="s">
        <v>346</v>
      </c>
      <c r="B156" t="s">
        <v>347</v>
      </c>
      <c r="C156" t="s">
        <v>348</v>
      </c>
      <c r="D156" t="s">
        <v>21</v>
      </c>
      <c r="H156" s="1">
        <v>60000</v>
      </c>
      <c r="L156" s="1">
        <v>60000</v>
      </c>
    </row>
    <row r="157" spans="1:12" x14ac:dyDescent="0.2">
      <c r="A157" t="s">
        <v>349</v>
      </c>
      <c r="B157" t="s">
        <v>350</v>
      </c>
      <c r="C157" t="s">
        <v>351</v>
      </c>
      <c r="D157" t="s">
        <v>15</v>
      </c>
      <c r="G157" s="1">
        <v>80000</v>
      </c>
      <c r="H157" s="1">
        <v>10000</v>
      </c>
      <c r="L157" s="1">
        <v>90000</v>
      </c>
    </row>
    <row r="158" spans="1:12" x14ac:dyDescent="0.2">
      <c r="A158" t="s">
        <v>352</v>
      </c>
      <c r="B158" t="s">
        <v>350</v>
      </c>
      <c r="C158" t="s">
        <v>351</v>
      </c>
      <c r="D158" t="s">
        <v>21</v>
      </c>
      <c r="E158" s="1">
        <v>150000</v>
      </c>
      <c r="L158" s="1">
        <v>150000</v>
      </c>
    </row>
    <row r="159" spans="1:12" x14ac:dyDescent="0.2">
      <c r="A159" t="s">
        <v>353</v>
      </c>
      <c r="B159" t="s">
        <v>350</v>
      </c>
      <c r="C159" t="s">
        <v>354</v>
      </c>
      <c r="D159" t="s">
        <v>26</v>
      </c>
      <c r="H159" s="1">
        <v>60000</v>
      </c>
      <c r="L159" s="1">
        <v>60000</v>
      </c>
    </row>
    <row r="160" spans="1:12" x14ac:dyDescent="0.2">
      <c r="A160" t="s">
        <v>355</v>
      </c>
      <c r="B160" t="s">
        <v>356</v>
      </c>
      <c r="C160" t="s">
        <v>357</v>
      </c>
      <c r="D160" t="s">
        <v>64</v>
      </c>
      <c r="I160" s="1">
        <v>150000</v>
      </c>
      <c r="L160" s="1">
        <v>150000</v>
      </c>
    </row>
    <row r="161" spans="1:12" x14ac:dyDescent="0.2">
      <c r="A161" t="s">
        <v>358</v>
      </c>
      <c r="B161" t="s">
        <v>359</v>
      </c>
      <c r="C161" t="s">
        <v>360</v>
      </c>
      <c r="D161" t="s">
        <v>21</v>
      </c>
      <c r="H161" s="1">
        <v>50000</v>
      </c>
      <c r="L161" s="1">
        <v>50000</v>
      </c>
    </row>
    <row r="162" spans="1:12" x14ac:dyDescent="0.2">
      <c r="A162" t="s">
        <v>361</v>
      </c>
      <c r="B162" t="s">
        <v>362</v>
      </c>
      <c r="C162" t="s">
        <v>363</v>
      </c>
      <c r="D162" t="s">
        <v>21</v>
      </c>
      <c r="E162" s="1">
        <v>53059</v>
      </c>
      <c r="L162" s="1">
        <v>53059</v>
      </c>
    </row>
    <row r="163" spans="1:12" x14ac:dyDescent="0.2">
      <c r="A163" t="s">
        <v>364</v>
      </c>
      <c r="B163" t="s">
        <v>362</v>
      </c>
      <c r="C163" t="s">
        <v>363</v>
      </c>
      <c r="D163" t="s">
        <v>21</v>
      </c>
      <c r="H163" s="1">
        <v>80000</v>
      </c>
      <c r="L163" s="1">
        <v>80000</v>
      </c>
    </row>
    <row r="164" spans="1:12" x14ac:dyDescent="0.2">
      <c r="A164" t="s">
        <v>365</v>
      </c>
      <c r="B164" t="s">
        <v>366</v>
      </c>
      <c r="C164" t="s">
        <v>367</v>
      </c>
      <c r="D164" t="s">
        <v>121</v>
      </c>
      <c r="F164" s="1">
        <v>348144</v>
      </c>
      <c r="L164" s="1">
        <v>348144</v>
      </c>
    </row>
    <row r="165" spans="1:12" x14ac:dyDescent="0.2">
      <c r="A165" t="s">
        <v>368</v>
      </c>
      <c r="B165" t="s">
        <v>366</v>
      </c>
      <c r="C165" t="s">
        <v>369</v>
      </c>
      <c r="D165" t="s">
        <v>64</v>
      </c>
      <c r="I165" s="1">
        <v>112000</v>
      </c>
      <c r="L165" s="1">
        <v>112000</v>
      </c>
    </row>
    <row r="166" spans="1:12" x14ac:dyDescent="0.2">
      <c r="A166" t="s">
        <v>370</v>
      </c>
      <c r="B166" t="s">
        <v>366</v>
      </c>
      <c r="C166" t="s">
        <v>371</v>
      </c>
      <c r="D166" t="s">
        <v>26</v>
      </c>
      <c r="H166" s="1">
        <v>175000</v>
      </c>
      <c r="L166" s="1">
        <v>175000</v>
      </c>
    </row>
    <row r="167" spans="1:12" x14ac:dyDescent="0.2">
      <c r="A167" t="s">
        <v>372</v>
      </c>
      <c r="B167" t="s">
        <v>373</v>
      </c>
      <c r="C167" t="s">
        <v>374</v>
      </c>
      <c r="D167" t="s">
        <v>30</v>
      </c>
      <c r="H167" s="1">
        <v>50000</v>
      </c>
      <c r="L167" s="1">
        <v>50000</v>
      </c>
    </row>
    <row r="168" spans="1:12" x14ac:dyDescent="0.2">
      <c r="A168" t="s">
        <v>375</v>
      </c>
      <c r="B168" t="s">
        <v>376</v>
      </c>
      <c r="C168" t="s">
        <v>377</v>
      </c>
      <c r="D168" t="s">
        <v>21</v>
      </c>
      <c r="E168" s="1">
        <v>102500</v>
      </c>
      <c r="L168" s="1">
        <v>102500</v>
      </c>
    </row>
    <row r="169" spans="1:12" x14ac:dyDescent="0.2">
      <c r="A169" t="s">
        <v>378</v>
      </c>
      <c r="B169" t="s">
        <v>379</v>
      </c>
      <c r="C169" t="s">
        <v>380</v>
      </c>
      <c r="D169" t="s">
        <v>15</v>
      </c>
      <c r="G169" s="1">
        <v>30000</v>
      </c>
      <c r="L169" s="1">
        <v>30000</v>
      </c>
    </row>
    <row r="170" spans="1:12" x14ac:dyDescent="0.2">
      <c r="A170" t="s">
        <v>381</v>
      </c>
      <c r="B170" t="s">
        <v>382</v>
      </c>
      <c r="C170" t="s">
        <v>383</v>
      </c>
      <c r="D170" t="s">
        <v>21</v>
      </c>
      <c r="E170" s="1">
        <v>49852</v>
      </c>
      <c r="L170" s="1">
        <v>49852</v>
      </c>
    </row>
    <row r="171" spans="1:12" x14ac:dyDescent="0.2">
      <c r="A171" t="s">
        <v>384</v>
      </c>
      <c r="B171" t="s">
        <v>385</v>
      </c>
      <c r="C171" t="s">
        <v>386</v>
      </c>
      <c r="D171" t="s">
        <v>121</v>
      </c>
      <c r="F171" s="1">
        <v>492167</v>
      </c>
      <c r="L171" s="1">
        <v>492167</v>
      </c>
    </row>
    <row r="172" spans="1:12" x14ac:dyDescent="0.2">
      <c r="A172" t="s">
        <v>387</v>
      </c>
      <c r="B172" t="s">
        <v>385</v>
      </c>
      <c r="C172" t="s">
        <v>386</v>
      </c>
      <c r="D172" t="s">
        <v>26</v>
      </c>
      <c r="F172" s="1">
        <v>243174</v>
      </c>
      <c r="L172" s="1">
        <v>243174</v>
      </c>
    </row>
    <row r="173" spans="1:12" x14ac:dyDescent="0.2">
      <c r="A173" t="s">
        <v>388</v>
      </c>
      <c r="B173" t="s">
        <v>385</v>
      </c>
      <c r="C173" t="s">
        <v>389</v>
      </c>
      <c r="D173" t="s">
        <v>26</v>
      </c>
      <c r="F173" s="1">
        <v>38815.67</v>
      </c>
      <c r="H173" s="1">
        <v>136045.82999999999</v>
      </c>
      <c r="L173" s="1">
        <v>174861.5</v>
      </c>
    </row>
    <row r="174" spans="1:12" x14ac:dyDescent="0.2">
      <c r="A174" t="s">
        <v>390</v>
      </c>
      <c r="B174" t="s">
        <v>385</v>
      </c>
      <c r="C174" t="s">
        <v>389</v>
      </c>
      <c r="D174" t="s">
        <v>26</v>
      </c>
      <c r="F174" s="1">
        <v>82237</v>
      </c>
      <c r="L174" s="1">
        <v>82237</v>
      </c>
    </row>
    <row r="175" spans="1:12" x14ac:dyDescent="0.2">
      <c r="A175" t="s">
        <v>391</v>
      </c>
      <c r="B175" t="s">
        <v>392</v>
      </c>
      <c r="C175" t="s">
        <v>393</v>
      </c>
      <c r="D175" t="s">
        <v>121</v>
      </c>
      <c r="F175" s="1">
        <v>50000</v>
      </c>
      <c r="L175" s="1">
        <v>50000</v>
      </c>
    </row>
    <row r="176" spans="1:12" x14ac:dyDescent="0.2">
      <c r="A176" t="s">
        <v>394</v>
      </c>
      <c r="B176" t="s">
        <v>395</v>
      </c>
      <c r="C176" t="s">
        <v>396</v>
      </c>
      <c r="D176" t="s">
        <v>36</v>
      </c>
      <c r="E176" s="1">
        <v>221750</v>
      </c>
      <c r="L176" s="1">
        <v>221750</v>
      </c>
    </row>
    <row r="177" spans="1:12" x14ac:dyDescent="0.2">
      <c r="A177" t="s">
        <v>397</v>
      </c>
      <c r="B177" t="s">
        <v>398</v>
      </c>
      <c r="C177" t="s">
        <v>399</v>
      </c>
      <c r="D177" t="s">
        <v>256</v>
      </c>
      <c r="H177" s="1">
        <v>65000</v>
      </c>
      <c r="L177" s="1">
        <v>65000</v>
      </c>
    </row>
    <row r="178" spans="1:12" x14ac:dyDescent="0.2">
      <c r="A178" t="s">
        <v>400</v>
      </c>
      <c r="B178" t="s">
        <v>401</v>
      </c>
      <c r="C178" t="s">
        <v>402</v>
      </c>
      <c r="D178" t="s">
        <v>222</v>
      </c>
      <c r="G178" s="1">
        <v>50000</v>
      </c>
      <c r="L178" s="1">
        <v>50000</v>
      </c>
    </row>
    <row r="179" spans="1:12" x14ac:dyDescent="0.2">
      <c r="A179" t="s">
        <v>403</v>
      </c>
      <c r="B179" t="s">
        <v>401</v>
      </c>
      <c r="C179" t="s">
        <v>402</v>
      </c>
      <c r="D179" t="s">
        <v>256</v>
      </c>
      <c r="H179" s="1">
        <v>50000</v>
      </c>
      <c r="L179" s="1">
        <v>50000</v>
      </c>
    </row>
    <row r="180" spans="1:12" x14ac:dyDescent="0.2">
      <c r="A180" t="s">
        <v>404</v>
      </c>
      <c r="B180" t="s">
        <v>401</v>
      </c>
      <c r="C180" t="s">
        <v>402</v>
      </c>
      <c r="D180" t="s">
        <v>68</v>
      </c>
      <c r="H180" s="1">
        <v>70000</v>
      </c>
      <c r="L180" s="1">
        <v>70000</v>
      </c>
    </row>
    <row r="181" spans="1:12" x14ac:dyDescent="0.2">
      <c r="A181" t="s">
        <v>405</v>
      </c>
      <c r="B181" t="s">
        <v>401</v>
      </c>
      <c r="C181" t="s">
        <v>406</v>
      </c>
      <c r="D181" t="s">
        <v>26</v>
      </c>
      <c r="K181" s="1">
        <v>166115</v>
      </c>
      <c r="L181" s="1">
        <v>166115</v>
      </c>
    </row>
    <row r="182" spans="1:12" x14ac:dyDescent="0.2">
      <c r="A182" t="s">
        <v>407</v>
      </c>
      <c r="B182" t="s">
        <v>408</v>
      </c>
      <c r="C182" t="s">
        <v>409</v>
      </c>
      <c r="D182" t="s">
        <v>146</v>
      </c>
      <c r="J182" s="1">
        <v>75000</v>
      </c>
      <c r="L182" s="1">
        <v>75000</v>
      </c>
    </row>
    <row r="183" spans="1:12" x14ac:dyDescent="0.2">
      <c r="A183" t="s">
        <v>410</v>
      </c>
      <c r="B183" t="s">
        <v>411</v>
      </c>
      <c r="C183" t="s">
        <v>412</v>
      </c>
      <c r="D183" t="s">
        <v>101</v>
      </c>
      <c r="H183" s="1">
        <v>50000</v>
      </c>
      <c r="L183" s="1">
        <v>50000</v>
      </c>
    </row>
    <row r="184" spans="1:12" x14ac:dyDescent="0.2">
      <c r="A184" t="s">
        <v>413</v>
      </c>
      <c r="B184" t="s">
        <v>411</v>
      </c>
      <c r="C184" t="s">
        <v>414</v>
      </c>
      <c r="D184" t="s">
        <v>26</v>
      </c>
      <c r="H184" s="1">
        <v>68420</v>
      </c>
      <c r="L184" s="1">
        <v>68420</v>
      </c>
    </row>
    <row r="185" spans="1:12" x14ac:dyDescent="0.2">
      <c r="A185" t="s">
        <v>415</v>
      </c>
      <c r="B185" t="s">
        <v>416</v>
      </c>
      <c r="C185" t="s">
        <v>417</v>
      </c>
      <c r="D185" t="s">
        <v>101</v>
      </c>
      <c r="H185" s="1">
        <v>55000</v>
      </c>
      <c r="L185" s="1">
        <v>55000</v>
      </c>
    </row>
    <row r="186" spans="1:12" x14ac:dyDescent="0.2">
      <c r="A186" t="s">
        <v>418</v>
      </c>
      <c r="B186" t="s">
        <v>416</v>
      </c>
      <c r="C186" t="s">
        <v>419</v>
      </c>
      <c r="D186" t="s">
        <v>26</v>
      </c>
      <c r="H186" s="1">
        <v>239922.68</v>
      </c>
      <c r="L186" s="1">
        <v>239922.68</v>
      </c>
    </row>
    <row r="187" spans="1:12" x14ac:dyDescent="0.2">
      <c r="A187" t="s">
        <v>420</v>
      </c>
      <c r="B187" t="s">
        <v>416</v>
      </c>
      <c r="C187" t="s">
        <v>421</v>
      </c>
      <c r="D187" t="s">
        <v>26</v>
      </c>
      <c r="K187" s="1">
        <v>350000</v>
      </c>
      <c r="L187" s="1">
        <v>350000</v>
      </c>
    </row>
    <row r="188" spans="1:12" x14ac:dyDescent="0.2">
      <c r="A188" t="s">
        <v>422</v>
      </c>
      <c r="B188" t="s">
        <v>423</v>
      </c>
      <c r="C188" t="s">
        <v>424</v>
      </c>
      <c r="D188" t="s">
        <v>64</v>
      </c>
      <c r="H188" s="1">
        <v>46873</v>
      </c>
      <c r="L188" s="1">
        <v>46873</v>
      </c>
    </row>
    <row r="189" spans="1:12" x14ac:dyDescent="0.2">
      <c r="A189" t="s">
        <v>425</v>
      </c>
      <c r="B189" t="s">
        <v>426</v>
      </c>
      <c r="C189" t="s">
        <v>427</v>
      </c>
      <c r="D189" t="s">
        <v>21</v>
      </c>
      <c r="E189" s="1">
        <v>205000</v>
      </c>
      <c r="L189" s="1">
        <v>205000</v>
      </c>
    </row>
    <row r="190" spans="1:12" x14ac:dyDescent="0.2">
      <c r="A190" t="s">
        <v>428</v>
      </c>
      <c r="B190" t="s">
        <v>429</v>
      </c>
      <c r="C190" t="s">
        <v>430</v>
      </c>
      <c r="D190" t="s">
        <v>256</v>
      </c>
      <c r="H190" s="1">
        <v>50000</v>
      </c>
      <c r="L190" s="1">
        <v>50000</v>
      </c>
    </row>
    <row r="191" spans="1:12" x14ac:dyDescent="0.2">
      <c r="A191" t="s">
        <v>431</v>
      </c>
      <c r="B191" t="s">
        <v>432</v>
      </c>
      <c r="C191" t="s">
        <v>433</v>
      </c>
      <c r="D191" t="s">
        <v>15</v>
      </c>
      <c r="E191" s="1">
        <v>76659.38</v>
      </c>
      <c r="L191" s="1">
        <v>76659.38</v>
      </c>
    </row>
    <row r="192" spans="1:12" x14ac:dyDescent="0.2">
      <c r="A192" t="s">
        <v>434</v>
      </c>
      <c r="B192" t="s">
        <v>432</v>
      </c>
      <c r="C192" t="s">
        <v>433</v>
      </c>
      <c r="D192" t="s">
        <v>21</v>
      </c>
      <c r="E192" s="1">
        <v>49182.59</v>
      </c>
      <c r="L192" s="1">
        <v>49182.59</v>
      </c>
    </row>
    <row r="193" spans="1:12" x14ac:dyDescent="0.2">
      <c r="A193" t="s">
        <v>435</v>
      </c>
      <c r="B193" t="s">
        <v>432</v>
      </c>
      <c r="C193" t="s">
        <v>433</v>
      </c>
      <c r="D193" t="s">
        <v>15</v>
      </c>
      <c r="E193" s="1">
        <v>60412</v>
      </c>
      <c r="L193" s="1">
        <v>60412</v>
      </c>
    </row>
    <row r="194" spans="1:12" x14ac:dyDescent="0.2">
      <c r="A194" t="s">
        <v>436</v>
      </c>
      <c r="B194" t="s">
        <v>432</v>
      </c>
      <c r="C194" t="s">
        <v>433</v>
      </c>
      <c r="D194" t="s">
        <v>21</v>
      </c>
      <c r="H194" s="1">
        <v>75000</v>
      </c>
      <c r="L194" s="1">
        <v>75000</v>
      </c>
    </row>
    <row r="195" spans="1:12" x14ac:dyDescent="0.2">
      <c r="A195" t="s">
        <v>437</v>
      </c>
      <c r="B195" t="s">
        <v>432</v>
      </c>
      <c r="C195" t="s">
        <v>433</v>
      </c>
      <c r="D195" t="s">
        <v>21</v>
      </c>
      <c r="E195" s="1">
        <v>47272</v>
      </c>
      <c r="L195" s="1">
        <v>47272</v>
      </c>
    </row>
    <row r="196" spans="1:12" x14ac:dyDescent="0.2">
      <c r="A196" t="s">
        <v>438</v>
      </c>
      <c r="B196" t="s">
        <v>432</v>
      </c>
      <c r="C196" t="s">
        <v>433</v>
      </c>
      <c r="D196" t="s">
        <v>21</v>
      </c>
      <c r="E196" s="1">
        <v>87125</v>
      </c>
      <c r="L196" s="1">
        <v>87125</v>
      </c>
    </row>
    <row r="197" spans="1:12" x14ac:dyDescent="0.2">
      <c r="A197" t="s">
        <v>439</v>
      </c>
      <c r="B197" t="s">
        <v>432</v>
      </c>
      <c r="C197" t="s">
        <v>433</v>
      </c>
      <c r="D197" t="s">
        <v>15</v>
      </c>
      <c r="E197" s="1">
        <v>256250</v>
      </c>
      <c r="L197" s="1">
        <v>256250</v>
      </c>
    </row>
    <row r="198" spans="1:12" x14ac:dyDescent="0.2">
      <c r="A198" t="s">
        <v>440</v>
      </c>
      <c r="B198" t="s">
        <v>441</v>
      </c>
      <c r="C198" t="s">
        <v>442</v>
      </c>
      <c r="D198" t="s">
        <v>26</v>
      </c>
      <c r="H198" s="1">
        <v>100000</v>
      </c>
      <c r="L198" s="1">
        <v>100000</v>
      </c>
    </row>
    <row r="199" spans="1:12" x14ac:dyDescent="0.2">
      <c r="A199" t="s">
        <v>443</v>
      </c>
      <c r="B199" t="s">
        <v>444</v>
      </c>
      <c r="C199" t="s">
        <v>445</v>
      </c>
      <c r="D199" t="s">
        <v>256</v>
      </c>
      <c r="H199" s="1">
        <v>50000</v>
      </c>
      <c r="L199" s="1">
        <v>50000</v>
      </c>
    </row>
    <row r="200" spans="1:12" x14ac:dyDescent="0.2">
      <c r="A200" t="s">
        <v>446</v>
      </c>
      <c r="B200" t="s">
        <v>447</v>
      </c>
      <c r="C200" t="s">
        <v>448</v>
      </c>
      <c r="D200" t="s">
        <v>203</v>
      </c>
      <c r="E200" s="1">
        <v>89258</v>
      </c>
      <c r="H200" s="1">
        <v>64076</v>
      </c>
      <c r="L200" s="1">
        <v>153334</v>
      </c>
    </row>
    <row r="201" spans="1:12" x14ac:dyDescent="0.2">
      <c r="A201" t="s">
        <v>449</v>
      </c>
      <c r="B201" t="s">
        <v>447</v>
      </c>
      <c r="C201" t="s">
        <v>450</v>
      </c>
      <c r="D201" t="s">
        <v>203</v>
      </c>
      <c r="H201" s="1">
        <v>58963</v>
      </c>
      <c r="L201" s="1">
        <v>58963</v>
      </c>
    </row>
    <row r="202" spans="1:12" x14ac:dyDescent="0.2">
      <c r="A202" t="s">
        <v>451</v>
      </c>
      <c r="B202" t="s">
        <v>447</v>
      </c>
      <c r="C202" t="s">
        <v>452</v>
      </c>
      <c r="D202" t="s">
        <v>203</v>
      </c>
      <c r="E202" s="1">
        <v>341000</v>
      </c>
      <c r="L202" s="1">
        <v>341000</v>
      </c>
    </row>
    <row r="203" spans="1:12" x14ac:dyDescent="0.2">
      <c r="A203" t="s">
        <v>453</v>
      </c>
      <c r="B203" t="s">
        <v>447</v>
      </c>
      <c r="C203" t="s">
        <v>454</v>
      </c>
      <c r="D203" t="s">
        <v>203</v>
      </c>
      <c r="E203" s="1">
        <v>59000</v>
      </c>
      <c r="L203" s="1">
        <v>59000</v>
      </c>
    </row>
    <row r="204" spans="1:12" x14ac:dyDescent="0.2">
      <c r="A204" t="s">
        <v>455</v>
      </c>
      <c r="B204" t="s">
        <v>447</v>
      </c>
      <c r="C204" t="s">
        <v>456</v>
      </c>
      <c r="D204" t="s">
        <v>203</v>
      </c>
      <c r="E204" s="1">
        <v>1166034.7</v>
      </c>
      <c r="L204" s="1">
        <v>1166034.7</v>
      </c>
    </row>
    <row r="205" spans="1:12" x14ac:dyDescent="0.2">
      <c r="A205" t="s">
        <v>457</v>
      </c>
      <c r="B205" t="s">
        <v>447</v>
      </c>
      <c r="C205" t="s">
        <v>448</v>
      </c>
      <c r="D205" t="s">
        <v>203</v>
      </c>
      <c r="E205" s="1">
        <v>672723.76</v>
      </c>
      <c r="L205" s="1">
        <v>672723.76</v>
      </c>
    </row>
    <row r="206" spans="1:12" x14ac:dyDescent="0.2">
      <c r="A206" t="s">
        <v>458</v>
      </c>
      <c r="B206" t="s">
        <v>447</v>
      </c>
      <c r="C206" t="s">
        <v>454</v>
      </c>
      <c r="D206" t="s">
        <v>54</v>
      </c>
      <c r="H206" s="1">
        <v>50000</v>
      </c>
      <c r="L206" s="1">
        <v>50000</v>
      </c>
    </row>
    <row r="207" spans="1:12" x14ac:dyDescent="0.2">
      <c r="A207" t="s">
        <v>459</v>
      </c>
      <c r="B207" t="s">
        <v>460</v>
      </c>
      <c r="C207" t="s">
        <v>461</v>
      </c>
      <c r="D207" t="s">
        <v>222</v>
      </c>
      <c r="E207" s="1">
        <v>230000</v>
      </c>
      <c r="L207" s="1">
        <v>230000</v>
      </c>
    </row>
    <row r="208" spans="1:12" x14ac:dyDescent="0.2">
      <c r="A208" t="s">
        <v>462</v>
      </c>
      <c r="B208" t="s">
        <v>463</v>
      </c>
      <c r="C208" t="s">
        <v>464</v>
      </c>
      <c r="D208" t="s">
        <v>26</v>
      </c>
      <c r="H208" s="1">
        <v>250000</v>
      </c>
      <c r="L208" s="1">
        <v>250000</v>
      </c>
    </row>
    <row r="209" spans="1:12" x14ac:dyDescent="0.2">
      <c r="A209" t="s">
        <v>465</v>
      </c>
      <c r="B209" t="s">
        <v>466</v>
      </c>
      <c r="C209" t="s">
        <v>467</v>
      </c>
      <c r="D209" t="s">
        <v>30</v>
      </c>
      <c r="E209" s="1">
        <v>75000</v>
      </c>
      <c r="L209" s="1">
        <v>75000</v>
      </c>
    </row>
    <row r="210" spans="1:12" x14ac:dyDescent="0.2">
      <c r="A210" t="s">
        <v>468</v>
      </c>
      <c r="B210" t="s">
        <v>466</v>
      </c>
      <c r="C210" t="s">
        <v>467</v>
      </c>
      <c r="D210" t="s">
        <v>26</v>
      </c>
      <c r="H210">
        <v>0</v>
      </c>
      <c r="K210" s="1">
        <v>168300</v>
      </c>
      <c r="L210" s="1">
        <v>168300</v>
      </c>
    </row>
    <row r="211" spans="1:12" x14ac:dyDescent="0.2">
      <c r="A211" t="s">
        <v>469</v>
      </c>
      <c r="B211" t="s">
        <v>470</v>
      </c>
      <c r="C211" t="s">
        <v>471</v>
      </c>
      <c r="D211" t="s">
        <v>21</v>
      </c>
      <c r="H211" s="1">
        <v>50000</v>
      </c>
      <c r="L211" s="1">
        <v>50000</v>
      </c>
    </row>
    <row r="212" spans="1:12" x14ac:dyDescent="0.2">
      <c r="A212" t="s">
        <v>472</v>
      </c>
      <c r="B212" t="s">
        <v>470</v>
      </c>
      <c r="C212" t="s">
        <v>471</v>
      </c>
      <c r="D212" t="s">
        <v>101</v>
      </c>
      <c r="H212" s="1">
        <v>50000</v>
      </c>
      <c r="L212" s="1">
        <v>50000</v>
      </c>
    </row>
    <row r="213" spans="1:12" x14ac:dyDescent="0.2">
      <c r="A213" t="s">
        <v>473</v>
      </c>
      <c r="B213" t="s">
        <v>470</v>
      </c>
      <c r="C213" t="s">
        <v>474</v>
      </c>
      <c r="D213" t="s">
        <v>146</v>
      </c>
      <c r="J213" s="1">
        <v>75000</v>
      </c>
      <c r="L213" s="1">
        <v>75000</v>
      </c>
    </row>
    <row r="214" spans="1:12" x14ac:dyDescent="0.2">
      <c r="A214" t="s">
        <v>475</v>
      </c>
      <c r="B214" t="s">
        <v>476</v>
      </c>
      <c r="C214" t="s">
        <v>477</v>
      </c>
      <c r="D214" t="s">
        <v>36</v>
      </c>
      <c r="E214" s="1">
        <v>80622</v>
      </c>
      <c r="L214" s="1">
        <v>80622</v>
      </c>
    </row>
    <row r="215" spans="1:12" x14ac:dyDescent="0.2">
      <c r="A215" t="s">
        <v>478</v>
      </c>
      <c r="B215" t="s">
        <v>479</v>
      </c>
      <c r="C215" t="s">
        <v>480</v>
      </c>
      <c r="D215" t="s">
        <v>203</v>
      </c>
      <c r="H215" s="1">
        <v>20000</v>
      </c>
      <c r="L215" s="1">
        <v>20000</v>
      </c>
    </row>
    <row r="216" spans="1:12" x14ac:dyDescent="0.2">
      <c r="A216" t="s">
        <v>481</v>
      </c>
      <c r="B216" t="s">
        <v>479</v>
      </c>
      <c r="C216" t="s">
        <v>480</v>
      </c>
      <c r="D216" t="s">
        <v>203</v>
      </c>
      <c r="E216" s="1">
        <v>11149.35</v>
      </c>
      <c r="L216" s="1">
        <v>11149.35</v>
      </c>
    </row>
    <row r="217" spans="1:12" x14ac:dyDescent="0.2">
      <c r="A217" t="s">
        <v>482</v>
      </c>
      <c r="B217" t="s">
        <v>483</v>
      </c>
      <c r="C217" t="s">
        <v>484</v>
      </c>
      <c r="D217" t="s">
        <v>64</v>
      </c>
      <c r="I217" s="1">
        <v>45000</v>
      </c>
      <c r="L217" s="1">
        <v>45000</v>
      </c>
    </row>
    <row r="218" spans="1:12" x14ac:dyDescent="0.2">
      <c r="A218" t="s">
        <v>485</v>
      </c>
      <c r="B218" t="s">
        <v>486</v>
      </c>
      <c r="C218" t="s">
        <v>487</v>
      </c>
      <c r="D218" t="s">
        <v>121</v>
      </c>
      <c r="F218" s="1">
        <v>50000</v>
      </c>
      <c r="L218" s="1">
        <v>50000</v>
      </c>
    </row>
    <row r="219" spans="1:12" x14ac:dyDescent="0.2">
      <c r="A219" t="s">
        <v>488</v>
      </c>
      <c r="B219" t="s">
        <v>486</v>
      </c>
      <c r="C219" t="s">
        <v>489</v>
      </c>
      <c r="D219" t="s">
        <v>26</v>
      </c>
      <c r="F219" s="1">
        <v>32900</v>
      </c>
      <c r="L219" s="1">
        <v>32900</v>
      </c>
    </row>
    <row r="220" spans="1:12" x14ac:dyDescent="0.2">
      <c r="A220" t="s">
        <v>490</v>
      </c>
      <c r="B220" t="s">
        <v>491</v>
      </c>
      <c r="C220" t="s">
        <v>492</v>
      </c>
      <c r="D220" t="s">
        <v>54</v>
      </c>
      <c r="J220" s="1">
        <v>33711.83</v>
      </c>
      <c r="L220" s="1">
        <v>33711.83</v>
      </c>
    </row>
    <row r="221" spans="1:12" x14ac:dyDescent="0.2">
      <c r="A221" t="s">
        <v>493</v>
      </c>
      <c r="B221" t="s">
        <v>491</v>
      </c>
      <c r="C221" t="s">
        <v>492</v>
      </c>
      <c r="D221" t="s">
        <v>54</v>
      </c>
      <c r="J221" s="1">
        <v>50000</v>
      </c>
      <c r="L221" s="1">
        <v>50000</v>
      </c>
    </row>
    <row r="222" spans="1:12" x14ac:dyDescent="0.2">
      <c r="A222" t="s">
        <v>494</v>
      </c>
      <c r="B222" t="s">
        <v>491</v>
      </c>
      <c r="C222" t="s">
        <v>492</v>
      </c>
      <c r="D222" t="s">
        <v>48</v>
      </c>
      <c r="H222" s="1">
        <v>30000</v>
      </c>
      <c r="L222" s="1">
        <v>30000</v>
      </c>
    </row>
    <row r="223" spans="1:12" x14ac:dyDescent="0.2">
      <c r="A223" t="s">
        <v>495</v>
      </c>
      <c r="B223" t="s">
        <v>491</v>
      </c>
      <c r="C223" t="s">
        <v>492</v>
      </c>
      <c r="D223" t="s">
        <v>48</v>
      </c>
      <c r="G223" s="1">
        <v>115000</v>
      </c>
      <c r="L223" s="1">
        <v>115000</v>
      </c>
    </row>
    <row r="224" spans="1:12" x14ac:dyDescent="0.2">
      <c r="A224" t="s">
        <v>496</v>
      </c>
      <c r="B224" t="s">
        <v>497</v>
      </c>
      <c r="C224" t="s">
        <v>498</v>
      </c>
      <c r="D224" t="s">
        <v>146</v>
      </c>
      <c r="J224" s="1">
        <v>75000</v>
      </c>
      <c r="L224" s="1">
        <v>75000</v>
      </c>
    </row>
    <row r="225" spans="1:12" x14ac:dyDescent="0.2">
      <c r="A225" t="s">
        <v>499</v>
      </c>
      <c r="B225" t="s">
        <v>497</v>
      </c>
      <c r="C225" t="s">
        <v>500</v>
      </c>
      <c r="D225" t="s">
        <v>146</v>
      </c>
      <c r="J225" s="1">
        <v>75000</v>
      </c>
      <c r="L225" s="1">
        <v>75000</v>
      </c>
    </row>
    <row r="226" spans="1:12" x14ac:dyDescent="0.2">
      <c r="A226" t="s">
        <v>501</v>
      </c>
      <c r="B226" t="s">
        <v>497</v>
      </c>
      <c r="C226" t="s">
        <v>502</v>
      </c>
      <c r="D226" t="s">
        <v>203</v>
      </c>
      <c r="J226" s="1">
        <v>50000</v>
      </c>
      <c r="L226" s="1">
        <v>50000</v>
      </c>
    </row>
    <row r="227" spans="1:12" x14ac:dyDescent="0.2">
      <c r="A227" t="s">
        <v>503</v>
      </c>
      <c r="B227" t="s">
        <v>497</v>
      </c>
      <c r="C227" t="s">
        <v>498</v>
      </c>
      <c r="D227" t="s">
        <v>26</v>
      </c>
      <c r="H227" s="1">
        <v>140000</v>
      </c>
      <c r="L227" s="1">
        <v>140000</v>
      </c>
    </row>
    <row r="228" spans="1:12" x14ac:dyDescent="0.2">
      <c r="A228" t="s">
        <v>504</v>
      </c>
      <c r="B228" t="s">
        <v>505</v>
      </c>
      <c r="C228" t="s">
        <v>506</v>
      </c>
      <c r="D228" t="s">
        <v>26</v>
      </c>
      <c r="H228" s="1">
        <v>103522</v>
      </c>
      <c r="L228" s="1">
        <v>103522</v>
      </c>
    </row>
    <row r="229" spans="1:12" x14ac:dyDescent="0.2">
      <c r="A229" t="s">
        <v>507</v>
      </c>
      <c r="B229" t="s">
        <v>505</v>
      </c>
      <c r="C229" t="s">
        <v>508</v>
      </c>
      <c r="D229" t="s">
        <v>203</v>
      </c>
      <c r="H229" s="1">
        <v>38000</v>
      </c>
      <c r="L229" s="1">
        <v>38000</v>
      </c>
    </row>
    <row r="230" spans="1:12" x14ac:dyDescent="0.2">
      <c r="A230" t="s">
        <v>509</v>
      </c>
      <c r="B230" t="s">
        <v>510</v>
      </c>
      <c r="C230" t="s">
        <v>511</v>
      </c>
      <c r="D230" t="s">
        <v>222</v>
      </c>
      <c r="F230" s="1">
        <v>35000</v>
      </c>
      <c r="H230" s="1">
        <v>71334</v>
      </c>
      <c r="L230" s="1">
        <v>106334</v>
      </c>
    </row>
    <row r="231" spans="1:12" x14ac:dyDescent="0.2">
      <c r="A231" t="s">
        <v>512</v>
      </c>
      <c r="B231" t="s">
        <v>513</v>
      </c>
      <c r="C231" t="s">
        <v>514</v>
      </c>
      <c r="D231" t="s">
        <v>54</v>
      </c>
      <c r="G231" s="1">
        <v>14393.15</v>
      </c>
      <c r="L231" s="1">
        <v>14393.15</v>
      </c>
    </row>
    <row r="232" spans="1:12" x14ac:dyDescent="0.2">
      <c r="A232" t="s">
        <v>515</v>
      </c>
      <c r="B232" t="s">
        <v>516</v>
      </c>
      <c r="C232" t="s">
        <v>517</v>
      </c>
      <c r="D232" t="s">
        <v>30</v>
      </c>
      <c r="E232" s="1">
        <v>50000</v>
      </c>
      <c r="L232" s="1">
        <v>50000</v>
      </c>
    </row>
    <row r="233" spans="1:12" x14ac:dyDescent="0.2">
      <c r="A233" t="s">
        <v>518</v>
      </c>
      <c r="B233" t="s">
        <v>516</v>
      </c>
      <c r="C233" t="s">
        <v>517</v>
      </c>
      <c r="D233" t="s">
        <v>203</v>
      </c>
      <c r="E233" s="1">
        <v>35000</v>
      </c>
      <c r="L233" s="1">
        <v>35000</v>
      </c>
    </row>
    <row r="234" spans="1:12" x14ac:dyDescent="0.2">
      <c r="A234" t="s">
        <v>519</v>
      </c>
      <c r="B234" t="s">
        <v>520</v>
      </c>
      <c r="C234" t="s">
        <v>521</v>
      </c>
      <c r="D234" t="s">
        <v>68</v>
      </c>
      <c r="H234" s="1">
        <v>36000</v>
      </c>
      <c r="L234" s="1">
        <v>36000</v>
      </c>
    </row>
    <row r="235" spans="1:12" x14ac:dyDescent="0.2">
      <c r="A235" t="s">
        <v>522</v>
      </c>
      <c r="B235" t="s">
        <v>520</v>
      </c>
      <c r="C235" t="s">
        <v>521</v>
      </c>
      <c r="D235" t="s">
        <v>68</v>
      </c>
      <c r="G235" s="1">
        <v>25000</v>
      </c>
      <c r="L235" s="1">
        <v>25000</v>
      </c>
    </row>
    <row r="236" spans="1:12" x14ac:dyDescent="0.2">
      <c r="A236" t="s">
        <v>523</v>
      </c>
      <c r="B236" t="s">
        <v>524</v>
      </c>
      <c r="C236" t="s">
        <v>525</v>
      </c>
      <c r="D236" t="s">
        <v>101</v>
      </c>
      <c r="H236" s="1">
        <v>50000</v>
      </c>
      <c r="L236" s="1">
        <v>50000</v>
      </c>
    </row>
    <row r="237" spans="1:12" x14ac:dyDescent="0.2">
      <c r="A237" t="s">
        <v>526</v>
      </c>
      <c r="B237" t="s">
        <v>527</v>
      </c>
      <c r="C237" t="s">
        <v>528</v>
      </c>
      <c r="D237" t="s">
        <v>222</v>
      </c>
      <c r="G237" s="1">
        <v>150000</v>
      </c>
      <c r="L237" s="1">
        <v>150000</v>
      </c>
    </row>
    <row r="238" spans="1:12" x14ac:dyDescent="0.2">
      <c r="A238" t="s">
        <v>529</v>
      </c>
      <c r="B238" t="s">
        <v>527</v>
      </c>
      <c r="C238" t="s">
        <v>528</v>
      </c>
      <c r="D238" t="s">
        <v>68</v>
      </c>
      <c r="H238" s="1">
        <v>50000</v>
      </c>
      <c r="L238" s="1">
        <v>50000</v>
      </c>
    </row>
    <row r="239" spans="1:12" x14ac:dyDescent="0.2">
      <c r="A239" t="s">
        <v>530</v>
      </c>
      <c r="B239" t="s">
        <v>527</v>
      </c>
      <c r="C239" t="s">
        <v>528</v>
      </c>
      <c r="D239" t="s">
        <v>256</v>
      </c>
      <c r="H239" s="1">
        <v>50000</v>
      </c>
      <c r="L239" s="1">
        <v>50000</v>
      </c>
    </row>
    <row r="240" spans="1:12" x14ac:dyDescent="0.2">
      <c r="A240" t="s">
        <v>531</v>
      </c>
      <c r="B240" t="s">
        <v>527</v>
      </c>
      <c r="C240" t="s">
        <v>528</v>
      </c>
      <c r="D240" t="s">
        <v>222</v>
      </c>
      <c r="G240" s="1">
        <v>50000</v>
      </c>
      <c r="L240" s="1">
        <v>50000</v>
      </c>
    </row>
    <row r="241" spans="1:12" x14ac:dyDescent="0.2">
      <c r="A241" t="s">
        <v>532</v>
      </c>
      <c r="B241" t="s">
        <v>527</v>
      </c>
      <c r="C241" t="s">
        <v>528</v>
      </c>
      <c r="D241" t="s">
        <v>222</v>
      </c>
      <c r="G241" s="1">
        <v>150000</v>
      </c>
      <c r="L241" s="1">
        <v>150000</v>
      </c>
    </row>
    <row r="242" spans="1:12" x14ac:dyDescent="0.2">
      <c r="A242" t="s">
        <v>533</v>
      </c>
      <c r="B242" t="s">
        <v>527</v>
      </c>
      <c r="C242" t="s">
        <v>528</v>
      </c>
      <c r="D242" t="s">
        <v>222</v>
      </c>
      <c r="E242" s="1">
        <v>150000</v>
      </c>
      <c r="G242" s="1">
        <v>150000</v>
      </c>
      <c r="L242" s="1">
        <v>300000</v>
      </c>
    </row>
    <row r="243" spans="1:12" x14ac:dyDescent="0.2">
      <c r="A243" t="s">
        <v>534</v>
      </c>
      <c r="B243" t="s">
        <v>527</v>
      </c>
      <c r="C243" t="s">
        <v>528</v>
      </c>
      <c r="D243" t="s">
        <v>26</v>
      </c>
      <c r="H243" s="1">
        <v>87000</v>
      </c>
      <c r="L243" s="1">
        <v>87000</v>
      </c>
    </row>
    <row r="244" spans="1:12" x14ac:dyDescent="0.2">
      <c r="A244" t="s">
        <v>535</v>
      </c>
      <c r="B244" t="s">
        <v>536</v>
      </c>
      <c r="C244" t="s">
        <v>537</v>
      </c>
      <c r="D244" t="s">
        <v>54</v>
      </c>
      <c r="E244" s="1">
        <v>168587</v>
      </c>
      <c r="L244" s="1">
        <v>168587</v>
      </c>
    </row>
    <row r="245" spans="1:12" x14ac:dyDescent="0.2">
      <c r="A245" t="s">
        <v>538</v>
      </c>
      <c r="B245" t="s">
        <v>536</v>
      </c>
      <c r="C245" t="s">
        <v>539</v>
      </c>
      <c r="D245" t="s">
        <v>54</v>
      </c>
      <c r="E245" s="1">
        <v>50000</v>
      </c>
      <c r="L245" s="1">
        <v>50000</v>
      </c>
    </row>
    <row r="246" spans="1:12" x14ac:dyDescent="0.2">
      <c r="A246" t="s">
        <v>540</v>
      </c>
      <c r="B246" t="s">
        <v>536</v>
      </c>
      <c r="C246" t="s">
        <v>541</v>
      </c>
      <c r="D246" t="s">
        <v>54</v>
      </c>
      <c r="G246" s="1">
        <v>20000</v>
      </c>
      <c r="L246" s="1">
        <v>20000</v>
      </c>
    </row>
    <row r="247" spans="1:12" x14ac:dyDescent="0.2">
      <c r="A247" t="s">
        <v>542</v>
      </c>
      <c r="B247" t="s">
        <v>543</v>
      </c>
      <c r="C247" t="s">
        <v>544</v>
      </c>
      <c r="D247" t="s">
        <v>101</v>
      </c>
      <c r="E247" s="1">
        <v>85859</v>
      </c>
      <c r="L247" s="1">
        <v>85859</v>
      </c>
    </row>
    <row r="248" spans="1:12" x14ac:dyDescent="0.2">
      <c r="A248" t="s">
        <v>545</v>
      </c>
      <c r="B248" t="s">
        <v>546</v>
      </c>
      <c r="C248" t="s">
        <v>547</v>
      </c>
      <c r="D248" t="s">
        <v>15</v>
      </c>
      <c r="E248" s="1">
        <v>82000</v>
      </c>
      <c r="L248" s="1">
        <v>82000</v>
      </c>
    </row>
    <row r="249" spans="1:12" x14ac:dyDescent="0.2">
      <c r="A249" t="s">
        <v>548</v>
      </c>
      <c r="B249" t="s">
        <v>546</v>
      </c>
      <c r="C249" t="s">
        <v>549</v>
      </c>
      <c r="D249" t="s">
        <v>15</v>
      </c>
      <c r="G249" s="1">
        <v>25000</v>
      </c>
      <c r="H249" s="1">
        <v>60000</v>
      </c>
      <c r="L249" s="1">
        <v>85000</v>
      </c>
    </row>
    <row r="250" spans="1:12" x14ac:dyDescent="0.2">
      <c r="A250" t="s">
        <v>550</v>
      </c>
      <c r="B250" t="s">
        <v>546</v>
      </c>
      <c r="C250" t="s">
        <v>549</v>
      </c>
      <c r="D250" t="s">
        <v>15</v>
      </c>
      <c r="G250" s="1">
        <v>50000</v>
      </c>
      <c r="L250" s="1">
        <v>50000</v>
      </c>
    </row>
    <row r="251" spans="1:12" x14ac:dyDescent="0.2">
      <c r="A251" t="s">
        <v>551</v>
      </c>
      <c r="B251" t="s">
        <v>546</v>
      </c>
      <c r="C251" t="s">
        <v>552</v>
      </c>
      <c r="D251" t="s">
        <v>15</v>
      </c>
      <c r="G251" s="1">
        <v>50000</v>
      </c>
      <c r="L251" s="1">
        <v>50000</v>
      </c>
    </row>
    <row r="252" spans="1:12" x14ac:dyDescent="0.2">
      <c r="A252" t="s">
        <v>553</v>
      </c>
      <c r="B252" t="s">
        <v>546</v>
      </c>
      <c r="C252" t="s">
        <v>549</v>
      </c>
      <c r="D252" t="s">
        <v>15</v>
      </c>
      <c r="E252" s="1">
        <v>85752</v>
      </c>
      <c r="G252" s="1">
        <v>80033.11</v>
      </c>
      <c r="L252" s="1">
        <v>165785.10999999999</v>
      </c>
    </row>
    <row r="253" spans="1:12" x14ac:dyDescent="0.2">
      <c r="A253" t="s">
        <v>554</v>
      </c>
      <c r="B253" t="s">
        <v>546</v>
      </c>
      <c r="C253" t="s">
        <v>555</v>
      </c>
      <c r="D253" t="s">
        <v>54</v>
      </c>
      <c r="E253" s="1">
        <v>175000</v>
      </c>
      <c r="L253" s="1">
        <v>175000</v>
      </c>
    </row>
    <row r="254" spans="1:12" x14ac:dyDescent="0.2">
      <c r="A254" t="s">
        <v>556</v>
      </c>
      <c r="B254" t="s">
        <v>557</v>
      </c>
      <c r="C254" t="s">
        <v>558</v>
      </c>
      <c r="D254" t="s">
        <v>222</v>
      </c>
      <c r="G254" s="1">
        <v>15000</v>
      </c>
      <c r="H254" s="1">
        <v>25000</v>
      </c>
      <c r="L254" s="1">
        <v>40000</v>
      </c>
    </row>
    <row r="255" spans="1:12" x14ac:dyDescent="0.2">
      <c r="A255" t="s">
        <v>559</v>
      </c>
      <c r="B255" t="s">
        <v>557</v>
      </c>
      <c r="C255" t="s">
        <v>558</v>
      </c>
      <c r="D255" t="s">
        <v>15</v>
      </c>
      <c r="G255" s="1">
        <v>15000</v>
      </c>
      <c r="H255" s="1">
        <v>25000</v>
      </c>
      <c r="L255" s="1">
        <v>40000</v>
      </c>
    </row>
    <row r="256" spans="1:12" x14ac:dyDescent="0.2">
      <c r="A256" t="s">
        <v>560</v>
      </c>
      <c r="B256" t="s">
        <v>561</v>
      </c>
      <c r="C256" t="s">
        <v>562</v>
      </c>
      <c r="D256" t="s">
        <v>21</v>
      </c>
      <c r="H256" s="1">
        <v>165000</v>
      </c>
      <c r="L256" s="1">
        <v>165000</v>
      </c>
    </row>
    <row r="257" spans="1:12" x14ac:dyDescent="0.2">
      <c r="A257" t="s">
        <v>563</v>
      </c>
      <c r="B257" t="s">
        <v>564</v>
      </c>
      <c r="C257" t="s">
        <v>565</v>
      </c>
      <c r="D257" t="s">
        <v>68</v>
      </c>
      <c r="H257" s="1">
        <v>50000</v>
      </c>
      <c r="L257" s="1">
        <v>50000</v>
      </c>
    </row>
    <row r="258" spans="1:12" x14ac:dyDescent="0.2">
      <c r="A258" t="s">
        <v>566</v>
      </c>
      <c r="B258" t="s">
        <v>564</v>
      </c>
      <c r="C258" t="s">
        <v>567</v>
      </c>
      <c r="D258" t="s">
        <v>222</v>
      </c>
      <c r="E258" s="1">
        <v>112750</v>
      </c>
      <c r="L258" s="1">
        <v>112750</v>
      </c>
    </row>
    <row r="259" spans="1:12" x14ac:dyDescent="0.2">
      <c r="A259" t="s">
        <v>568</v>
      </c>
      <c r="B259" t="s">
        <v>564</v>
      </c>
      <c r="C259" t="s">
        <v>569</v>
      </c>
      <c r="D259" t="s">
        <v>54</v>
      </c>
      <c r="E259" s="1">
        <v>25200</v>
      </c>
      <c r="L259" s="1">
        <v>25200</v>
      </c>
    </row>
    <row r="260" spans="1:12" x14ac:dyDescent="0.2">
      <c r="A260" t="s">
        <v>570</v>
      </c>
      <c r="B260" t="s">
        <v>564</v>
      </c>
      <c r="C260" t="s">
        <v>569</v>
      </c>
      <c r="D260" t="s">
        <v>26</v>
      </c>
      <c r="E260" s="1">
        <v>680814</v>
      </c>
      <c r="K260" s="1">
        <v>756461</v>
      </c>
      <c r="L260" s="1">
        <v>1437275</v>
      </c>
    </row>
    <row r="261" spans="1:12" x14ac:dyDescent="0.2">
      <c r="A261" t="s">
        <v>571</v>
      </c>
      <c r="B261" t="s">
        <v>564</v>
      </c>
      <c r="C261" t="s">
        <v>569</v>
      </c>
      <c r="D261" t="s">
        <v>26</v>
      </c>
      <c r="E261" s="1">
        <v>219716.32</v>
      </c>
      <c r="L261" s="1">
        <v>219716.32</v>
      </c>
    </row>
    <row r="262" spans="1:12" x14ac:dyDescent="0.2">
      <c r="A262" t="s">
        <v>572</v>
      </c>
      <c r="B262" t="s">
        <v>573</v>
      </c>
      <c r="C262" t="s">
        <v>574</v>
      </c>
      <c r="D262" t="s">
        <v>101</v>
      </c>
      <c r="E262" s="1">
        <v>119141</v>
      </c>
      <c r="L262" s="1">
        <v>119141</v>
      </c>
    </row>
    <row r="263" spans="1:12" x14ac:dyDescent="0.2">
      <c r="A263" t="s">
        <v>575</v>
      </c>
      <c r="B263" t="s">
        <v>576</v>
      </c>
      <c r="C263" t="s">
        <v>577</v>
      </c>
      <c r="D263" t="s">
        <v>101</v>
      </c>
      <c r="H263" s="1">
        <v>50000</v>
      </c>
      <c r="L263" s="1">
        <v>50000</v>
      </c>
    </row>
    <row r="264" spans="1:12" x14ac:dyDescent="0.2">
      <c r="A264" t="s">
        <v>578</v>
      </c>
      <c r="B264" t="s">
        <v>579</v>
      </c>
      <c r="C264" t="s">
        <v>580</v>
      </c>
      <c r="D264" t="s">
        <v>21</v>
      </c>
      <c r="H264" s="1">
        <v>81111</v>
      </c>
      <c r="L264" s="1">
        <v>81111</v>
      </c>
    </row>
    <row r="265" spans="1:12" x14ac:dyDescent="0.2">
      <c r="A265" t="s">
        <v>581</v>
      </c>
      <c r="B265" t="s">
        <v>582</v>
      </c>
      <c r="C265" t="s">
        <v>583</v>
      </c>
      <c r="D265" t="s">
        <v>26</v>
      </c>
      <c r="H265" s="1">
        <v>85800</v>
      </c>
      <c r="L265" s="1">
        <v>85800</v>
      </c>
    </row>
    <row r="266" spans="1:12" x14ac:dyDescent="0.2">
      <c r="A266" t="s">
        <v>584</v>
      </c>
      <c r="B266" t="s">
        <v>585</v>
      </c>
      <c r="C266" t="s">
        <v>586</v>
      </c>
      <c r="D266" t="s">
        <v>30</v>
      </c>
      <c r="E266" s="1">
        <v>224073</v>
      </c>
      <c r="L266" s="1">
        <v>224073</v>
      </c>
    </row>
    <row r="267" spans="1:12" x14ac:dyDescent="0.2">
      <c r="A267" t="s">
        <v>587</v>
      </c>
      <c r="B267" t="s">
        <v>585</v>
      </c>
      <c r="C267" t="s">
        <v>588</v>
      </c>
      <c r="D267" t="s">
        <v>15</v>
      </c>
      <c r="G267" s="1">
        <v>45000</v>
      </c>
      <c r="H267" s="1">
        <v>42500</v>
      </c>
      <c r="L267" s="1">
        <v>87500</v>
      </c>
    </row>
    <row r="268" spans="1:12" x14ac:dyDescent="0.2">
      <c r="A268" t="s">
        <v>589</v>
      </c>
      <c r="B268" t="s">
        <v>585</v>
      </c>
      <c r="C268" t="s">
        <v>590</v>
      </c>
      <c r="D268" t="s">
        <v>15</v>
      </c>
      <c r="E268" s="1">
        <v>744947</v>
      </c>
      <c r="L268" s="1">
        <v>744947</v>
      </c>
    </row>
    <row r="269" spans="1:12" x14ac:dyDescent="0.2">
      <c r="A269" t="s">
        <v>591</v>
      </c>
      <c r="B269" t="s">
        <v>592</v>
      </c>
      <c r="C269" t="s">
        <v>593</v>
      </c>
      <c r="D269" t="s">
        <v>48</v>
      </c>
      <c r="H269" s="1">
        <v>123270</v>
      </c>
      <c r="L269" s="1">
        <v>123270</v>
      </c>
    </row>
    <row r="270" spans="1:12" x14ac:dyDescent="0.2">
      <c r="A270" t="s">
        <v>594</v>
      </c>
      <c r="B270" t="s">
        <v>592</v>
      </c>
      <c r="C270" t="s">
        <v>593</v>
      </c>
      <c r="D270" t="s">
        <v>48</v>
      </c>
      <c r="H270" s="1">
        <v>3820</v>
      </c>
      <c r="L270" s="1">
        <v>3820</v>
      </c>
    </row>
    <row r="271" spans="1:12" x14ac:dyDescent="0.2">
      <c r="A271" t="s">
        <v>595</v>
      </c>
      <c r="B271" t="s">
        <v>596</v>
      </c>
      <c r="C271" t="s">
        <v>597</v>
      </c>
      <c r="D271" t="s">
        <v>101</v>
      </c>
      <c r="H271" s="1">
        <v>50000</v>
      </c>
      <c r="L271" s="1">
        <v>50000</v>
      </c>
    </row>
    <row r="272" spans="1:12" x14ac:dyDescent="0.2">
      <c r="A272" t="s">
        <v>598</v>
      </c>
      <c r="B272" t="s">
        <v>599</v>
      </c>
      <c r="C272" t="s">
        <v>600</v>
      </c>
      <c r="D272" t="s">
        <v>54</v>
      </c>
      <c r="E272" s="1">
        <v>100000</v>
      </c>
      <c r="L272" s="1">
        <v>100000</v>
      </c>
    </row>
    <row r="273" spans="1:12" x14ac:dyDescent="0.2">
      <c r="A273" t="s">
        <v>601</v>
      </c>
      <c r="B273" t="s">
        <v>599</v>
      </c>
      <c r="C273" t="s">
        <v>602</v>
      </c>
      <c r="D273" t="s">
        <v>54</v>
      </c>
      <c r="E273" s="1">
        <v>75000</v>
      </c>
      <c r="L273" s="1">
        <v>75000</v>
      </c>
    </row>
    <row r="274" spans="1:12" x14ac:dyDescent="0.2">
      <c r="A274" t="s">
        <v>603</v>
      </c>
      <c r="B274" t="s">
        <v>599</v>
      </c>
      <c r="C274" t="s">
        <v>604</v>
      </c>
      <c r="D274" t="s">
        <v>54</v>
      </c>
      <c r="E274" s="1">
        <v>76875</v>
      </c>
      <c r="L274" s="1">
        <v>76875</v>
      </c>
    </row>
    <row r="275" spans="1:12" x14ac:dyDescent="0.2">
      <c r="A275" t="s">
        <v>605</v>
      </c>
      <c r="B275" t="s">
        <v>599</v>
      </c>
      <c r="C275" t="s">
        <v>604</v>
      </c>
      <c r="D275" t="s">
        <v>54</v>
      </c>
      <c r="E275" s="1">
        <v>61760.78</v>
      </c>
      <c r="L275" s="1">
        <v>61760.78</v>
      </c>
    </row>
    <row r="276" spans="1:12" x14ac:dyDescent="0.2">
      <c r="A276" t="s">
        <v>606</v>
      </c>
      <c r="B276" t="s">
        <v>607</v>
      </c>
      <c r="C276" t="s">
        <v>608</v>
      </c>
      <c r="D276" t="s">
        <v>30</v>
      </c>
      <c r="H276" s="1">
        <v>55000</v>
      </c>
      <c r="L276" s="1">
        <v>55000</v>
      </c>
    </row>
    <row r="277" spans="1:12" x14ac:dyDescent="0.2">
      <c r="A277" t="s">
        <v>609</v>
      </c>
      <c r="B277" t="s">
        <v>607</v>
      </c>
      <c r="C277" t="s">
        <v>608</v>
      </c>
      <c r="D277" t="s">
        <v>54</v>
      </c>
      <c r="J277" s="1">
        <v>50000</v>
      </c>
      <c r="L277" s="1">
        <v>50000</v>
      </c>
    </row>
    <row r="278" spans="1:12" x14ac:dyDescent="0.2">
      <c r="A278" t="s">
        <v>610</v>
      </c>
      <c r="B278" t="s">
        <v>607</v>
      </c>
      <c r="C278" t="s">
        <v>608</v>
      </c>
      <c r="D278" t="s">
        <v>203</v>
      </c>
      <c r="E278" s="1">
        <v>20898</v>
      </c>
      <c r="L278" s="1">
        <v>20898</v>
      </c>
    </row>
    <row r="279" spans="1:12" x14ac:dyDescent="0.2">
      <c r="A279" t="s">
        <v>611</v>
      </c>
      <c r="B279" t="s">
        <v>607</v>
      </c>
      <c r="C279" t="s">
        <v>608</v>
      </c>
      <c r="D279" t="s">
        <v>203</v>
      </c>
      <c r="E279" s="1">
        <v>20300</v>
      </c>
      <c r="L279" s="1">
        <v>20300</v>
      </c>
    </row>
    <row r="280" spans="1:12" x14ac:dyDescent="0.2">
      <c r="A280" t="s">
        <v>612</v>
      </c>
      <c r="B280" t="s">
        <v>613</v>
      </c>
      <c r="C280" t="s">
        <v>614</v>
      </c>
      <c r="D280" t="s">
        <v>26</v>
      </c>
      <c r="K280" s="1">
        <v>402605.95</v>
      </c>
      <c r="L280" s="1">
        <v>402605.95</v>
      </c>
    </row>
    <row r="281" spans="1:12" x14ac:dyDescent="0.2">
      <c r="A281" t="s">
        <v>615</v>
      </c>
      <c r="B281" t="s">
        <v>616</v>
      </c>
      <c r="C281" t="s">
        <v>617</v>
      </c>
      <c r="D281" t="s">
        <v>30</v>
      </c>
      <c r="E281" s="1">
        <v>48015.92</v>
      </c>
      <c r="L281" s="1">
        <v>48015.92</v>
      </c>
    </row>
    <row r="282" spans="1:12" x14ac:dyDescent="0.2">
      <c r="A282" t="s">
        <v>618</v>
      </c>
      <c r="B282" t="s">
        <v>616</v>
      </c>
      <c r="C282" t="s">
        <v>619</v>
      </c>
      <c r="D282" t="s">
        <v>101</v>
      </c>
      <c r="H282" s="1">
        <v>55000</v>
      </c>
      <c r="L282" s="1">
        <v>55000</v>
      </c>
    </row>
    <row r="283" spans="1:12" x14ac:dyDescent="0.2">
      <c r="A283" t="s">
        <v>620</v>
      </c>
      <c r="B283" t="s">
        <v>616</v>
      </c>
      <c r="C283" t="s">
        <v>617</v>
      </c>
      <c r="D283" t="s">
        <v>30</v>
      </c>
      <c r="E283" s="1">
        <v>210244</v>
      </c>
      <c r="L283" s="1">
        <v>210244</v>
      </c>
    </row>
    <row r="284" spans="1:12" x14ac:dyDescent="0.2">
      <c r="A284" t="s">
        <v>621</v>
      </c>
      <c r="B284" t="s">
        <v>616</v>
      </c>
      <c r="C284" t="s">
        <v>622</v>
      </c>
      <c r="D284" t="s">
        <v>36</v>
      </c>
      <c r="E284" s="1">
        <v>120932</v>
      </c>
      <c r="L284" s="1">
        <v>120932</v>
      </c>
    </row>
    <row r="285" spans="1:12" x14ac:dyDescent="0.2">
      <c r="A285" t="s">
        <v>623</v>
      </c>
      <c r="B285" t="s">
        <v>616</v>
      </c>
      <c r="C285" t="s">
        <v>617</v>
      </c>
      <c r="D285" t="s">
        <v>30</v>
      </c>
      <c r="E285" s="1">
        <v>128125</v>
      </c>
      <c r="L285" s="1">
        <v>128125</v>
      </c>
    </row>
    <row r="286" spans="1:12" x14ac:dyDescent="0.2">
      <c r="A286" t="s">
        <v>624</v>
      </c>
      <c r="B286" t="s">
        <v>625</v>
      </c>
      <c r="C286" t="s">
        <v>626</v>
      </c>
      <c r="D286" t="s">
        <v>146</v>
      </c>
      <c r="J286" s="1">
        <v>80000</v>
      </c>
      <c r="L286" s="1">
        <v>80000</v>
      </c>
    </row>
    <row r="287" spans="1:12" x14ac:dyDescent="0.2">
      <c r="A287" t="s">
        <v>627</v>
      </c>
      <c r="B287" t="s">
        <v>628</v>
      </c>
      <c r="C287" t="s">
        <v>277</v>
      </c>
      <c r="D287" t="s">
        <v>222</v>
      </c>
      <c r="G287" s="1">
        <v>16048.12</v>
      </c>
      <c r="L287" s="1">
        <v>16048.12</v>
      </c>
    </row>
    <row r="288" spans="1:12" x14ac:dyDescent="0.2">
      <c r="A288" t="s">
        <v>629</v>
      </c>
      <c r="B288" t="s">
        <v>628</v>
      </c>
      <c r="C288" t="s">
        <v>277</v>
      </c>
      <c r="D288" t="s">
        <v>222</v>
      </c>
      <c r="G288" s="1">
        <v>60000</v>
      </c>
      <c r="L288" s="1">
        <v>60000</v>
      </c>
    </row>
    <row r="289" spans="1:12" x14ac:dyDescent="0.2">
      <c r="A289" t="s">
        <v>630</v>
      </c>
      <c r="B289" t="s">
        <v>628</v>
      </c>
      <c r="C289" t="s">
        <v>277</v>
      </c>
      <c r="D289" t="s">
        <v>222</v>
      </c>
      <c r="G289" s="1">
        <v>50000</v>
      </c>
      <c r="L289" s="1">
        <v>50000</v>
      </c>
    </row>
    <row r="290" spans="1:12" x14ac:dyDescent="0.2">
      <c r="A290" t="s">
        <v>631</v>
      </c>
      <c r="B290" t="s">
        <v>628</v>
      </c>
      <c r="C290" t="s">
        <v>277</v>
      </c>
      <c r="D290" t="s">
        <v>222</v>
      </c>
      <c r="E290" s="1">
        <v>33070.1</v>
      </c>
      <c r="L290" s="1">
        <v>33070.1</v>
      </c>
    </row>
    <row r="291" spans="1:12" x14ac:dyDescent="0.2">
      <c r="A291" t="s">
        <v>632</v>
      </c>
      <c r="B291" t="s">
        <v>628</v>
      </c>
      <c r="C291" t="s">
        <v>277</v>
      </c>
      <c r="D291" t="s">
        <v>222</v>
      </c>
      <c r="J291" s="1">
        <v>62090.25</v>
      </c>
      <c r="L291" s="1">
        <v>62090.25</v>
      </c>
    </row>
    <row r="292" spans="1:12" x14ac:dyDescent="0.2">
      <c r="A292" t="s">
        <v>633</v>
      </c>
      <c r="B292" t="s">
        <v>628</v>
      </c>
      <c r="C292" t="s">
        <v>277</v>
      </c>
      <c r="D292" t="s">
        <v>222</v>
      </c>
      <c r="J292" s="1">
        <v>80000</v>
      </c>
      <c r="L292" s="1">
        <v>80000</v>
      </c>
    </row>
    <row r="293" spans="1:12" x14ac:dyDescent="0.2">
      <c r="A293" t="s">
        <v>634</v>
      </c>
      <c r="B293" t="s">
        <v>628</v>
      </c>
      <c r="C293" t="s">
        <v>277</v>
      </c>
      <c r="D293" t="s">
        <v>222</v>
      </c>
      <c r="E293" s="1">
        <v>60000</v>
      </c>
      <c r="L293" s="1">
        <v>60000</v>
      </c>
    </row>
    <row r="294" spans="1:12" x14ac:dyDescent="0.2">
      <c r="A294" t="s">
        <v>635</v>
      </c>
      <c r="B294" t="s">
        <v>636</v>
      </c>
      <c r="C294" t="s">
        <v>637</v>
      </c>
      <c r="D294" t="s">
        <v>101</v>
      </c>
      <c r="H294" s="1">
        <v>50000</v>
      </c>
      <c r="L294" s="1">
        <v>50000</v>
      </c>
    </row>
    <row r="295" spans="1:12" x14ac:dyDescent="0.2">
      <c r="A295" t="s">
        <v>638</v>
      </c>
      <c r="B295" t="s">
        <v>636</v>
      </c>
      <c r="C295" t="s">
        <v>637</v>
      </c>
      <c r="D295" t="s">
        <v>101</v>
      </c>
      <c r="E295" s="1">
        <v>200000</v>
      </c>
      <c r="L295" s="1">
        <v>200000</v>
      </c>
    </row>
    <row r="296" spans="1:12" x14ac:dyDescent="0.2">
      <c r="A296" t="s">
        <v>639</v>
      </c>
      <c r="B296" t="s">
        <v>640</v>
      </c>
      <c r="C296" t="s">
        <v>641</v>
      </c>
      <c r="D296" t="s">
        <v>101</v>
      </c>
      <c r="J296" s="1">
        <v>88333.04</v>
      </c>
      <c r="L296" s="1">
        <v>88333.04</v>
      </c>
    </row>
    <row r="297" spans="1:12" x14ac:dyDescent="0.2">
      <c r="A297" t="s">
        <v>642</v>
      </c>
      <c r="B297" t="s">
        <v>640</v>
      </c>
      <c r="C297" t="s">
        <v>641</v>
      </c>
      <c r="D297" t="s">
        <v>203</v>
      </c>
      <c r="E297" s="1">
        <v>20500</v>
      </c>
      <c r="L297" s="1">
        <v>20500</v>
      </c>
    </row>
    <row r="298" spans="1:12" x14ac:dyDescent="0.2">
      <c r="A298" t="s">
        <v>643</v>
      </c>
      <c r="B298" t="s">
        <v>640</v>
      </c>
      <c r="C298" t="s">
        <v>641</v>
      </c>
      <c r="D298" t="s">
        <v>203</v>
      </c>
      <c r="J298" s="1">
        <v>5000</v>
      </c>
      <c r="L298" s="1">
        <v>5000</v>
      </c>
    </row>
    <row r="299" spans="1:12" x14ac:dyDescent="0.2">
      <c r="A299" t="s">
        <v>644</v>
      </c>
      <c r="B299" t="s">
        <v>645</v>
      </c>
      <c r="C299" t="s">
        <v>646</v>
      </c>
      <c r="D299" t="s">
        <v>30</v>
      </c>
      <c r="E299" s="1">
        <v>13344.67</v>
      </c>
      <c r="L299" s="1">
        <v>13344.67</v>
      </c>
    </row>
    <row r="300" spans="1:12" x14ac:dyDescent="0.2">
      <c r="A300" t="s">
        <v>647</v>
      </c>
      <c r="B300" t="s">
        <v>645</v>
      </c>
      <c r="C300" t="s">
        <v>646</v>
      </c>
      <c r="D300" t="s">
        <v>30</v>
      </c>
      <c r="E300" s="1">
        <v>107625</v>
      </c>
      <c r="L300" s="1">
        <v>107625</v>
      </c>
    </row>
    <row r="301" spans="1:12" x14ac:dyDescent="0.2">
      <c r="A301" t="s">
        <v>648</v>
      </c>
      <c r="B301" t="s">
        <v>645</v>
      </c>
      <c r="C301" t="s">
        <v>649</v>
      </c>
      <c r="D301" t="s">
        <v>26</v>
      </c>
      <c r="H301" s="1">
        <v>45000</v>
      </c>
      <c r="L301" s="1">
        <v>45000</v>
      </c>
    </row>
    <row r="302" spans="1:12" x14ac:dyDescent="0.2">
      <c r="A302" t="s">
        <v>650</v>
      </c>
      <c r="B302" t="s">
        <v>645</v>
      </c>
      <c r="C302" t="s">
        <v>646</v>
      </c>
      <c r="D302" t="s">
        <v>26</v>
      </c>
      <c r="H302" s="1">
        <v>64473</v>
      </c>
      <c r="L302" s="1">
        <v>64473</v>
      </c>
    </row>
    <row r="303" spans="1:12" x14ac:dyDescent="0.2">
      <c r="A303" t="s">
        <v>651</v>
      </c>
      <c r="B303" t="s">
        <v>652</v>
      </c>
      <c r="C303" t="s">
        <v>653</v>
      </c>
      <c r="D303" t="s">
        <v>36</v>
      </c>
      <c r="E303" s="1">
        <v>668387</v>
      </c>
      <c r="L303" s="1">
        <v>668387</v>
      </c>
    </row>
    <row r="304" spans="1:12" x14ac:dyDescent="0.2">
      <c r="A304" t="s">
        <v>654</v>
      </c>
      <c r="B304" t="s">
        <v>652</v>
      </c>
      <c r="C304" t="s">
        <v>35</v>
      </c>
      <c r="D304" t="s">
        <v>101</v>
      </c>
      <c r="H304" s="1">
        <v>55000</v>
      </c>
      <c r="L304" s="1">
        <v>55000</v>
      </c>
    </row>
    <row r="305" spans="1:12" x14ac:dyDescent="0.2">
      <c r="A305" t="s">
        <v>655</v>
      </c>
      <c r="B305" t="s">
        <v>652</v>
      </c>
      <c r="C305" t="s">
        <v>656</v>
      </c>
      <c r="D305" t="s">
        <v>64</v>
      </c>
      <c r="H305" s="1">
        <v>50000</v>
      </c>
      <c r="L305" s="1">
        <v>50000</v>
      </c>
    </row>
    <row r="306" spans="1:12" x14ac:dyDescent="0.2">
      <c r="A306" t="s">
        <v>657</v>
      </c>
      <c r="B306" t="s">
        <v>658</v>
      </c>
      <c r="C306" t="s">
        <v>659</v>
      </c>
      <c r="D306" t="s">
        <v>101</v>
      </c>
      <c r="H306" s="1">
        <v>50000</v>
      </c>
      <c r="L306" s="1">
        <v>50000</v>
      </c>
    </row>
    <row r="307" spans="1:12" x14ac:dyDescent="0.2">
      <c r="A307" t="s">
        <v>660</v>
      </c>
      <c r="B307" t="s">
        <v>658</v>
      </c>
      <c r="C307" t="s">
        <v>659</v>
      </c>
      <c r="D307" t="s">
        <v>36</v>
      </c>
      <c r="E307" s="1">
        <v>50000</v>
      </c>
      <c r="L307" s="1">
        <v>50000</v>
      </c>
    </row>
    <row r="308" spans="1:12" x14ac:dyDescent="0.2">
      <c r="A308" t="s">
        <v>661</v>
      </c>
      <c r="B308" t="s">
        <v>662</v>
      </c>
      <c r="C308" t="s">
        <v>663</v>
      </c>
      <c r="D308" t="s">
        <v>30</v>
      </c>
      <c r="E308" s="1">
        <v>38433</v>
      </c>
      <c r="L308" s="1">
        <v>38433</v>
      </c>
    </row>
    <row r="309" spans="1:12" x14ac:dyDescent="0.2">
      <c r="A309" t="s">
        <v>664</v>
      </c>
      <c r="B309" t="s">
        <v>662</v>
      </c>
      <c r="C309" t="s">
        <v>665</v>
      </c>
      <c r="D309" t="s">
        <v>101</v>
      </c>
      <c r="E309" s="1">
        <v>40000</v>
      </c>
      <c r="L309" s="1">
        <v>40000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Sheet3</vt:lpstr>
      <vt:lpstr>Sheet6</vt:lpstr>
      <vt:lpstr>Sheet5</vt:lpstr>
      <vt:lpstr>Sheet4</vt:lpstr>
      <vt:lpstr>Community_Development_Projects_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Morrill</dc:creator>
  <cp:lastModifiedBy>Ryan Morrill</cp:lastModifiedBy>
  <dcterms:created xsi:type="dcterms:W3CDTF">2018-08-05T17:09:29Z</dcterms:created>
  <dcterms:modified xsi:type="dcterms:W3CDTF">2018-08-06T21:13:40Z</dcterms:modified>
</cp:coreProperties>
</file>